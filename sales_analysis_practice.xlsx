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trangluong/Documents/DATA ANALYS/Practice 1/"/>
    </mc:Choice>
  </mc:AlternateContent>
  <xr:revisionPtr revIDLastSave="0" documentId="13_ncr:1_{DEB45D4D-7B21-2247-A487-F41D1CE22FC0}" xr6:coauthVersionLast="47" xr6:coauthVersionMax="47" xr10:uidLastSave="{00000000-0000-0000-0000-000000000000}"/>
  <bookViews>
    <workbookView xWindow="0" yWindow="660" windowWidth="29400" windowHeight="18460" xr2:uid="{00000000-000D-0000-FFFF-FFFF00000000}"/>
  </bookViews>
  <sheets>
    <sheet name="Sales_Data" sheetId="1" r:id="rId1"/>
    <sheet name="Dashboard" sheetId="2" r:id="rId2"/>
  </sheets>
  <definedNames>
    <definedName name="_xlnm._FilterDatabase" localSheetId="0" hidden="1">Sales_Data!$S$6:$V$16</definedName>
    <definedName name="_xlchart.v1.0" hidden="1">Sales_Data!$AJ$2:$AJ$9</definedName>
    <definedName name="_xlchart.v1.1" hidden="1">Sales_Data!$AK$1</definedName>
    <definedName name="_xlchart.v1.2" hidden="1">Sales_Data!$AK$2:$AK$9</definedName>
    <definedName name="_xlchart.v1.3" hidden="1">Sales_Data!$AJ$2:$AJ$9</definedName>
    <definedName name="_xlchart.v1.4" hidden="1">Sales_Data!$AK$1</definedName>
    <definedName name="_xlchart.v1.5" hidden="1">Sales_Data!$AK$2:$AK$9</definedName>
    <definedName name="_xlchart.v1.6" hidden="1">Sales_Data!$AJ$2:$AJ$9</definedName>
    <definedName name="_xlchart.v1.7" hidden="1">Sales_Data!$AK$1</definedName>
    <definedName name="_xlchart.v1.8" hidden="1">Sales_Data!$AK$2:$AK$9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1" l="1" a="1"/>
  <c r="R103" i="1" s="1"/>
  <c r="AQ2" i="1" a="1"/>
  <c r="AS5" i="1"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2" i="1"/>
  <c r="AJ2" i="1" a="1"/>
  <c r="AJ2" i="1" s="1"/>
  <c r="AE2" i="1" a="1"/>
  <c r="AE2" i="1" s="1"/>
  <c r="AH2" i="1" s="1"/>
  <c r="Y2" i="1" a="1"/>
  <c r="Y2" i="1" s="1"/>
  <c r="AB2" i="1" s="1"/>
  <c r="S7" i="1" a="1"/>
  <c r="S7" i="1" s="1"/>
  <c r="V7" i="1" s="1"/>
  <c r="U3" i="1"/>
  <c r="U4" i="1"/>
  <c r="U2" i="1"/>
  <c r="P6" i="1"/>
  <c r="E7" i="2" s="1"/>
  <c r="P5" i="1"/>
  <c r="H7" i="2"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P103" i="1" l="1"/>
  <c r="P64" i="1"/>
  <c r="Q112" i="1"/>
  <c r="Q62" i="1"/>
  <c r="R84" i="1"/>
  <c r="P55" i="1"/>
  <c r="Q103" i="1"/>
  <c r="Q53" i="1"/>
  <c r="R43" i="1"/>
  <c r="R93" i="1"/>
  <c r="P113" i="1"/>
  <c r="P75" i="1"/>
  <c r="P25" i="1"/>
  <c r="Q73" i="1"/>
  <c r="R73" i="1"/>
  <c r="P105" i="1"/>
  <c r="P74" i="1"/>
  <c r="Q122" i="1"/>
  <c r="Q72" i="1"/>
  <c r="R74" i="1"/>
  <c r="P104" i="1"/>
  <c r="P65" i="1"/>
  <c r="Q113" i="1"/>
  <c r="Q63" i="1"/>
  <c r="R33" i="1"/>
  <c r="R83" i="1"/>
  <c r="R34" i="1"/>
  <c r="P95" i="1"/>
  <c r="P94" i="1"/>
  <c r="P54" i="1"/>
  <c r="Q102" i="1"/>
  <c r="Q52" i="1"/>
  <c r="R44" i="1"/>
  <c r="R94" i="1"/>
  <c r="AQ2" i="1"/>
  <c r="AS6" i="1"/>
  <c r="P93" i="1"/>
  <c r="P45" i="1"/>
  <c r="Q93" i="1"/>
  <c r="Q43" i="1"/>
  <c r="R53" i="1"/>
  <c r="O24" i="1"/>
  <c r="R24" i="1" s="1"/>
  <c r="R122" i="1"/>
  <c r="R112" i="1"/>
  <c r="R102" i="1"/>
  <c r="R92" i="1"/>
  <c r="R82" i="1"/>
  <c r="R72" i="1"/>
  <c r="R62" i="1"/>
  <c r="R52" i="1"/>
  <c r="R42" i="1"/>
  <c r="R32" i="1"/>
  <c r="Q34" i="1"/>
  <c r="Q44" i="1"/>
  <c r="Q54" i="1"/>
  <c r="Q64" i="1"/>
  <c r="Q74" i="1"/>
  <c r="Q84" i="1"/>
  <c r="Q94" i="1"/>
  <c r="Q104" i="1"/>
  <c r="Q114" i="1"/>
  <c r="P26" i="1"/>
  <c r="P36" i="1"/>
  <c r="P46" i="1"/>
  <c r="P56" i="1"/>
  <c r="P66" i="1"/>
  <c r="P76" i="1"/>
  <c r="P86" i="1"/>
  <c r="P96" i="1"/>
  <c r="P106" i="1"/>
  <c r="P116" i="1"/>
  <c r="R121" i="1"/>
  <c r="R111" i="1"/>
  <c r="R101" i="1"/>
  <c r="R91" i="1"/>
  <c r="R81" i="1"/>
  <c r="R71" i="1"/>
  <c r="R61" i="1"/>
  <c r="R51" i="1"/>
  <c r="R41" i="1"/>
  <c r="R31" i="1"/>
  <c r="Q25" i="1"/>
  <c r="Q35" i="1"/>
  <c r="Q45" i="1"/>
  <c r="Q55" i="1"/>
  <c r="Q65" i="1"/>
  <c r="Q75" i="1"/>
  <c r="Q85" i="1"/>
  <c r="Q95" i="1"/>
  <c r="Q105" i="1"/>
  <c r="Q115" i="1"/>
  <c r="P27" i="1"/>
  <c r="P37" i="1"/>
  <c r="P47" i="1"/>
  <c r="P57" i="1"/>
  <c r="P67" i="1"/>
  <c r="P77" i="1"/>
  <c r="P87" i="1"/>
  <c r="P97" i="1"/>
  <c r="P107" i="1"/>
  <c r="P117" i="1"/>
  <c r="R120" i="1"/>
  <c r="R110" i="1"/>
  <c r="R100" i="1"/>
  <c r="R90" i="1"/>
  <c r="R80" i="1"/>
  <c r="R70" i="1"/>
  <c r="R60" i="1"/>
  <c r="R50" i="1"/>
  <c r="R40" i="1"/>
  <c r="R30" i="1"/>
  <c r="Q26" i="1"/>
  <c r="Q36" i="1"/>
  <c r="Q46" i="1"/>
  <c r="Q56" i="1"/>
  <c r="Q66" i="1"/>
  <c r="Q76" i="1"/>
  <c r="Q86" i="1"/>
  <c r="Q96" i="1"/>
  <c r="Q106" i="1"/>
  <c r="Q116" i="1"/>
  <c r="P28" i="1"/>
  <c r="P38" i="1"/>
  <c r="P48" i="1"/>
  <c r="P58" i="1"/>
  <c r="P68" i="1"/>
  <c r="P78" i="1"/>
  <c r="P88" i="1"/>
  <c r="P98" i="1"/>
  <c r="P108" i="1"/>
  <c r="P118" i="1"/>
  <c r="R119" i="1"/>
  <c r="R109" i="1"/>
  <c r="R99" i="1"/>
  <c r="R89" i="1"/>
  <c r="R79" i="1"/>
  <c r="R69" i="1"/>
  <c r="R59" i="1"/>
  <c r="R49" i="1"/>
  <c r="R39" i="1"/>
  <c r="R29" i="1"/>
  <c r="Q27" i="1"/>
  <c r="Q37" i="1"/>
  <c r="Q47" i="1"/>
  <c r="Q57" i="1"/>
  <c r="Q67" i="1"/>
  <c r="Q77" i="1"/>
  <c r="Q87" i="1"/>
  <c r="Q97" i="1"/>
  <c r="Q107" i="1"/>
  <c r="Q117" i="1"/>
  <c r="P29" i="1"/>
  <c r="P39" i="1"/>
  <c r="P49" i="1"/>
  <c r="P59" i="1"/>
  <c r="P69" i="1"/>
  <c r="P79" i="1"/>
  <c r="P89" i="1"/>
  <c r="P99" i="1"/>
  <c r="P109" i="1"/>
  <c r="P119" i="1"/>
  <c r="R118" i="1"/>
  <c r="R108" i="1"/>
  <c r="R98" i="1"/>
  <c r="R88" i="1"/>
  <c r="R78" i="1"/>
  <c r="R68" i="1"/>
  <c r="R58" i="1"/>
  <c r="R48" i="1"/>
  <c r="R38" i="1"/>
  <c r="R28" i="1"/>
  <c r="Q28" i="1"/>
  <c r="Q38" i="1"/>
  <c r="Q48" i="1"/>
  <c r="Q58" i="1"/>
  <c r="Q68" i="1"/>
  <c r="Q78" i="1"/>
  <c r="Q88" i="1"/>
  <c r="Q98" i="1"/>
  <c r="Q108" i="1"/>
  <c r="Q118" i="1"/>
  <c r="P30" i="1"/>
  <c r="P40" i="1"/>
  <c r="P50" i="1"/>
  <c r="P60" i="1"/>
  <c r="P70" i="1"/>
  <c r="P80" i="1"/>
  <c r="P90" i="1"/>
  <c r="P100" i="1"/>
  <c r="P110" i="1"/>
  <c r="P120" i="1"/>
  <c r="R117" i="1"/>
  <c r="R107" i="1"/>
  <c r="R97" i="1"/>
  <c r="R87" i="1"/>
  <c r="R77" i="1"/>
  <c r="R67" i="1"/>
  <c r="R57" i="1"/>
  <c r="R47" i="1"/>
  <c r="R37" i="1"/>
  <c r="R27" i="1"/>
  <c r="Q29" i="1"/>
  <c r="Q39" i="1"/>
  <c r="Q49" i="1"/>
  <c r="Q59" i="1"/>
  <c r="Q69" i="1"/>
  <c r="Q79" i="1"/>
  <c r="Q89" i="1"/>
  <c r="Q99" i="1"/>
  <c r="Q109" i="1"/>
  <c r="Q119" i="1"/>
  <c r="P31" i="1"/>
  <c r="P41" i="1"/>
  <c r="P51" i="1"/>
  <c r="P61" i="1"/>
  <c r="P71" i="1"/>
  <c r="P81" i="1"/>
  <c r="P91" i="1"/>
  <c r="P101" i="1"/>
  <c r="P111" i="1"/>
  <c r="P121" i="1"/>
  <c r="R116" i="1"/>
  <c r="R106" i="1"/>
  <c r="R96" i="1"/>
  <c r="R86" i="1"/>
  <c r="R76" i="1"/>
  <c r="R66" i="1"/>
  <c r="R56" i="1"/>
  <c r="R46" i="1"/>
  <c r="R36" i="1"/>
  <c r="R26" i="1"/>
  <c r="Q30" i="1"/>
  <c r="Q40" i="1"/>
  <c r="Q50" i="1"/>
  <c r="Q60" i="1"/>
  <c r="Q70" i="1"/>
  <c r="Q80" i="1"/>
  <c r="Q90" i="1"/>
  <c r="Q100" i="1"/>
  <c r="Q110" i="1"/>
  <c r="Q120" i="1"/>
  <c r="P32" i="1"/>
  <c r="P42" i="1"/>
  <c r="P52" i="1"/>
  <c r="P62" i="1"/>
  <c r="P72" i="1"/>
  <c r="P82" i="1"/>
  <c r="P92" i="1"/>
  <c r="P102" i="1"/>
  <c r="P112" i="1"/>
  <c r="P122" i="1"/>
  <c r="R115" i="1"/>
  <c r="R105" i="1"/>
  <c r="R95" i="1"/>
  <c r="R85" i="1"/>
  <c r="R75" i="1"/>
  <c r="R65" i="1"/>
  <c r="R55" i="1"/>
  <c r="R45" i="1"/>
  <c r="R35" i="1"/>
  <c r="R25" i="1"/>
  <c r="Q31" i="1"/>
  <c r="Q41" i="1"/>
  <c r="Q51" i="1"/>
  <c r="Q61" i="1"/>
  <c r="Q71" i="1"/>
  <c r="Q81" i="1"/>
  <c r="Q91" i="1"/>
  <c r="Q101" i="1"/>
  <c r="Q111" i="1"/>
  <c r="Q121" i="1"/>
  <c r="P33" i="1"/>
  <c r="P43" i="1"/>
  <c r="P53" i="1"/>
  <c r="P63" i="1"/>
  <c r="P73" i="1"/>
  <c r="P85" i="1"/>
  <c r="P44" i="1"/>
  <c r="Q92" i="1"/>
  <c r="Q42" i="1"/>
  <c r="R54" i="1"/>
  <c r="R104" i="1"/>
  <c r="P115" i="1"/>
  <c r="P84" i="1"/>
  <c r="P35" i="1"/>
  <c r="Q83" i="1"/>
  <c r="Q33" i="1"/>
  <c r="R63" i="1"/>
  <c r="R113" i="1"/>
  <c r="P114" i="1"/>
  <c r="P83" i="1"/>
  <c r="P34" i="1"/>
  <c r="Q82" i="1"/>
  <c r="Q32" i="1"/>
  <c r="R64" i="1"/>
  <c r="R114" i="1"/>
  <c r="AK2" i="1"/>
  <c r="AS4" i="1"/>
  <c r="P24" i="1"/>
  <c r="Q24" i="1"/>
  <c r="AS2" i="1"/>
  <c r="AT2" i="1"/>
  <c r="AL6" i="1"/>
  <c r="AL5" i="1"/>
  <c r="AK4" i="1"/>
  <c r="AS3" i="1"/>
  <c r="AK7" i="1"/>
  <c r="AK6" i="1"/>
  <c r="AK3" i="1"/>
  <c r="AR2" i="1"/>
  <c r="AL2" i="1"/>
  <c r="AR6" i="1"/>
  <c r="AT6" i="1"/>
  <c r="AL9" i="1"/>
  <c r="AR5" i="1"/>
  <c r="AT5" i="1"/>
  <c r="AK5" i="1"/>
  <c r="AL3" i="1"/>
  <c r="AL8" i="1"/>
  <c r="AR4" i="1"/>
  <c r="AT4" i="1"/>
  <c r="AK8" i="1"/>
  <c r="AL4" i="1"/>
  <c r="AK9" i="1"/>
  <c r="AL7" i="1"/>
  <c r="AR3" i="1"/>
  <c r="AT3" i="1"/>
  <c r="AB6" i="1"/>
  <c r="AG2" i="1"/>
  <c r="AB5" i="1"/>
  <c r="AG6" i="1"/>
  <c r="AB4" i="1"/>
  <c r="AG5" i="1"/>
  <c r="AB3" i="1"/>
  <c r="AG4" i="1"/>
  <c r="AG3" i="1"/>
  <c r="AF2" i="1"/>
  <c r="AH6" i="1"/>
  <c r="AB9" i="1"/>
  <c r="AH5" i="1"/>
  <c r="AB8" i="1"/>
  <c r="AF4" i="1"/>
  <c r="AH4" i="1"/>
  <c r="AF6" i="1"/>
  <c r="AF5" i="1"/>
  <c r="AB7" i="1"/>
  <c r="AF3" i="1"/>
  <c r="AH3" i="1"/>
  <c r="AA8" i="1"/>
  <c r="Z9" i="1"/>
  <c r="AA7" i="1"/>
  <c r="AA9" i="1"/>
  <c r="Z2" i="1"/>
  <c r="AC2" i="1" s="1"/>
  <c r="Z8" i="1"/>
  <c r="AC8" i="1" s="1"/>
  <c r="AA6" i="1"/>
  <c r="Z3" i="1"/>
  <c r="AC3" i="1" s="1"/>
  <c r="Z7" i="1"/>
  <c r="AA5" i="1"/>
  <c r="AA2" i="1"/>
  <c r="Z6" i="1"/>
  <c r="AC6" i="1" s="1"/>
  <c r="AA4" i="1"/>
  <c r="Z5" i="1"/>
  <c r="AC5" i="1" s="1"/>
  <c r="AA3" i="1"/>
  <c r="Z4" i="1"/>
  <c r="U15" i="1"/>
  <c r="V14" i="1"/>
  <c r="U7" i="1"/>
  <c r="U16" i="1"/>
  <c r="V16" i="1"/>
  <c r="V15" i="1"/>
  <c r="U14" i="1"/>
  <c r="V13" i="1"/>
  <c r="U12" i="1"/>
  <c r="V11" i="1"/>
  <c r="U10" i="1"/>
  <c r="V10" i="1"/>
  <c r="U13" i="1"/>
  <c r="V12" i="1"/>
  <c r="U11" i="1"/>
  <c r="U9" i="1"/>
  <c r="V9" i="1"/>
  <c r="U8" i="1"/>
  <c r="V8" i="1"/>
  <c r="T9" i="1"/>
  <c r="T14" i="1"/>
  <c r="T16" i="1"/>
  <c r="T13" i="1"/>
  <c r="T12" i="1"/>
  <c r="T11" i="1"/>
  <c r="T10" i="1"/>
  <c r="T8" i="1"/>
  <c r="T15" i="1"/>
  <c r="T7" i="1"/>
  <c r="P4" i="1"/>
  <c r="T4" i="1"/>
  <c r="T2" i="1"/>
  <c r="T3" i="1"/>
  <c r="T27" i="1" l="1"/>
  <c r="AC7" i="1"/>
  <c r="P7" i="1"/>
  <c r="K7" i="2" s="1"/>
  <c r="B7" i="2"/>
  <c r="AC4" i="1"/>
  <c r="Y16" i="1" s="1"/>
  <c r="AC9" i="1"/>
  <c r="Y18" i="1" s="1"/>
  <c r="T29" i="1"/>
  <c r="T31" i="1"/>
  <c r="AJ12" i="1"/>
  <c r="AQ9" i="1"/>
  <c r="AQ11" i="1"/>
  <c r="AJ14" i="1"/>
  <c r="AB12" i="1"/>
  <c r="AE12" i="1"/>
  <c r="Z12" i="1"/>
  <c r="AE14" i="1"/>
  <c r="AE10" i="1"/>
  <c r="AB11" i="1"/>
  <c r="Z11" i="1"/>
  <c r="AB13" i="1"/>
  <c r="Z13" i="1"/>
  <c r="T18" i="1"/>
  <c r="T20" i="1"/>
  <c r="T19"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<sst xmlns="http://schemas.openxmlformats.org/spreadsheetml/2006/main" count="3596" uniqueCount="704">
  <si>
    <t>Order_ID</t>
  </si>
  <si>
    <t>Order_Date</t>
  </si>
  <si>
    <t>Customer_ID</t>
  </si>
  <si>
    <t>Customer_Name</t>
  </si>
  <si>
    <t>Product</t>
  </si>
  <si>
    <t>Category</t>
  </si>
  <si>
    <t>Quantity</t>
  </si>
  <si>
    <t>Unit_Price</t>
  </si>
  <si>
    <t>Discount</t>
  </si>
  <si>
    <t>Region</t>
  </si>
  <si>
    <t>Salesperson</t>
  </si>
  <si>
    <t>ORD00365</t>
  </si>
  <si>
    <t>C015</t>
  </si>
  <si>
    <t>Hoang Thu Ha</t>
  </si>
  <si>
    <t>Keyboard</t>
  </si>
  <si>
    <t>Accessories</t>
  </si>
  <si>
    <t>West</t>
  </si>
  <si>
    <t>Trang</t>
  </si>
  <si>
    <t>ORD00002</t>
  </si>
  <si>
    <t>C088</t>
  </si>
  <si>
    <t>Phan Duc Tuan</t>
  </si>
  <si>
    <t>Webcam</t>
  </si>
  <si>
    <t>Electronics</t>
  </si>
  <si>
    <t>South</t>
  </si>
  <si>
    <t>ORD00489</t>
  </si>
  <si>
    <t>C008</t>
  </si>
  <si>
    <t>Huynh Kim Thao</t>
  </si>
  <si>
    <t>North</t>
  </si>
  <si>
    <t>Lan</t>
  </si>
  <si>
    <t>ORD00313</t>
  </si>
  <si>
    <t>C058</t>
  </si>
  <si>
    <t>Doan Thu Phuong</t>
  </si>
  <si>
    <t>Chi</t>
  </si>
  <si>
    <t>ORD00398</t>
  </si>
  <si>
    <t>C084</t>
  </si>
  <si>
    <t>Pham Quang Duy</t>
  </si>
  <si>
    <t>ORD00434</t>
  </si>
  <si>
    <t>C057</t>
  </si>
  <si>
    <t>Mouse</t>
  </si>
  <si>
    <t>ORD00195</t>
  </si>
  <si>
    <t>C039</t>
  </si>
  <si>
    <t>Ngo Minh Quan</t>
  </si>
  <si>
    <t>Desk</t>
  </si>
  <si>
    <t>Office</t>
  </si>
  <si>
    <t>Central</t>
  </si>
  <si>
    <t>ORD00146</t>
  </si>
  <si>
    <t>C009</t>
  </si>
  <si>
    <t>Le Minh Chau</t>
  </si>
  <si>
    <t>Headphones</t>
  </si>
  <si>
    <t>ORD00384</t>
  </si>
  <si>
    <t>C036</t>
  </si>
  <si>
    <t>Tran Thi Binh</t>
  </si>
  <si>
    <t>Dung</t>
  </si>
  <si>
    <t>ORD00261</t>
  </si>
  <si>
    <t>C064</t>
  </si>
  <si>
    <t>East</t>
  </si>
  <si>
    <t>An</t>
  </si>
  <si>
    <t>ORD00392</t>
  </si>
  <si>
    <t>C097</t>
  </si>
  <si>
    <t>Dang Ngoc Mai</t>
  </si>
  <si>
    <t>ORD00408</t>
  </si>
  <si>
    <t>C054</t>
  </si>
  <si>
    <t>Bui Gia Nam</t>
  </si>
  <si>
    <t>Laptop</t>
  </si>
  <si>
    <t>Binh</t>
  </si>
  <si>
    <t>ORD00480</t>
  </si>
  <si>
    <t>C092</t>
  </si>
  <si>
    <t>Vo Thanh Lam</t>
  </si>
  <si>
    <t>ORD00145</t>
  </si>
  <si>
    <t>C016</t>
  </si>
  <si>
    <t>Minh</t>
  </si>
  <si>
    <t>ORD00200</t>
  </si>
  <si>
    <t>C067</t>
  </si>
  <si>
    <t>Printer</t>
  </si>
  <si>
    <t>Huy</t>
  </si>
  <si>
    <t>ORD00227</t>
  </si>
  <si>
    <t>C010</t>
  </si>
  <si>
    <t>Monitor</t>
  </si>
  <si>
    <t>ORD00247</t>
  </si>
  <si>
    <t>C050</t>
  </si>
  <si>
    <t>Mai Anh</t>
  </si>
  <si>
    <t>ORD00142</t>
  </si>
  <si>
    <t>C019</t>
  </si>
  <si>
    <t>ORD00267</t>
  </si>
  <si>
    <t>C047</t>
  </si>
  <si>
    <t>Tablet</t>
  </si>
  <si>
    <t>ORD00301</t>
  </si>
  <si>
    <t>C074</t>
  </si>
  <si>
    <t>ORD00305</t>
  </si>
  <si>
    <t>C011</t>
  </si>
  <si>
    <t>Nguyen Ha</t>
  </si>
  <si>
    <t>ORD00357</t>
  </si>
  <si>
    <t>C070</t>
  </si>
  <si>
    <t>Nguyen Van An</t>
  </si>
  <si>
    <t>ORD00044</t>
  </si>
  <si>
    <t>C030</t>
  </si>
  <si>
    <t>ORD00211</t>
  </si>
  <si>
    <t>C073</t>
  </si>
  <si>
    <t>ORD00491</t>
  </si>
  <si>
    <t>C035</t>
  </si>
  <si>
    <t>ORD00198</t>
  </si>
  <si>
    <t>C089</t>
  </si>
  <si>
    <t>ORD00429</t>
  </si>
  <si>
    <t>C034</t>
  </si>
  <si>
    <t>ORD00014</t>
  </si>
  <si>
    <t>C090</t>
  </si>
  <si>
    <t>ORD00108</t>
  </si>
  <si>
    <t>C029</t>
  </si>
  <si>
    <t>ORD00428</t>
  </si>
  <si>
    <t>C100</t>
  </si>
  <si>
    <t>ORD00368</t>
  </si>
  <si>
    <t>C066</t>
  </si>
  <si>
    <t>ORD00391</t>
  </si>
  <si>
    <t>C080</t>
  </si>
  <si>
    <t>Chair</t>
  </si>
  <si>
    <t>ORD00295</t>
  </si>
  <si>
    <t>C098</t>
  </si>
  <si>
    <t>ORD00099</t>
  </si>
  <si>
    <t>C012</t>
  </si>
  <si>
    <t>Tran Minh</t>
  </si>
  <si>
    <t>ORD00242</t>
  </si>
  <si>
    <t>C082</t>
  </si>
  <si>
    <t>ORD00196</t>
  </si>
  <si>
    <t>ORD00255</t>
  </si>
  <si>
    <t>C042</t>
  </si>
  <si>
    <t>ORD00290</t>
  </si>
  <si>
    <t>C068</t>
  </si>
  <si>
    <t>ORD00292</t>
  </si>
  <si>
    <t>ORD00422</t>
  </si>
  <si>
    <t>C085</t>
  </si>
  <si>
    <t>ORD00432</t>
  </si>
  <si>
    <t>ORD00379</t>
  </si>
  <si>
    <t>ORD00459</t>
  </si>
  <si>
    <t>C025</t>
  </si>
  <si>
    <t>ORD00009</t>
  </si>
  <si>
    <t>C026</t>
  </si>
  <si>
    <t>ORD00416</t>
  </si>
  <si>
    <t>C027</t>
  </si>
  <si>
    <t>ORD00271</t>
  </si>
  <si>
    <t>ORD00380</t>
  </si>
  <si>
    <t>C094</t>
  </si>
  <si>
    <t>ORD00063</t>
  </si>
  <si>
    <t>ORD00112</t>
  </si>
  <si>
    <t>C069</t>
  </si>
  <si>
    <t>ORD00370</t>
  </si>
  <si>
    <t>C093</t>
  </si>
  <si>
    <t>ORD00059</t>
  </si>
  <si>
    <t>C078</t>
  </si>
  <si>
    <t>ORD00341</t>
  </si>
  <si>
    <t>C021</t>
  </si>
  <si>
    <t>ORD00129</t>
  </si>
  <si>
    <t>C060</t>
  </si>
  <si>
    <t>ORD00350</t>
  </si>
  <si>
    <t>C077</t>
  </si>
  <si>
    <t>ORD00081</t>
  </si>
  <si>
    <t>C079</t>
  </si>
  <si>
    <t>ORD00082</t>
  </si>
  <si>
    <t>C051</t>
  </si>
  <si>
    <t>ORD00309</t>
  </si>
  <si>
    <t>ORD00342</t>
  </si>
  <si>
    <t>ORD00287</t>
  </si>
  <si>
    <t>ORD00266</t>
  </si>
  <si>
    <t>ORD00049</t>
  </si>
  <si>
    <t>ORD00074</t>
  </si>
  <si>
    <t>C065</t>
  </si>
  <si>
    <t>ORD00139</t>
  </si>
  <si>
    <t>ORD00078</t>
  </si>
  <si>
    <t>ORD00257</t>
  </si>
  <si>
    <t>ORD00374</t>
  </si>
  <si>
    <t>ORD00366</t>
  </si>
  <si>
    <t>ORD00492</t>
  </si>
  <si>
    <t>C086</t>
  </si>
  <si>
    <t>ORD00040</t>
  </si>
  <si>
    <t>C045</t>
  </si>
  <si>
    <t>ORD00222</t>
  </si>
  <si>
    <t>ORD00406</t>
  </si>
  <si>
    <t>ORD00481</t>
  </si>
  <si>
    <t>ORD00148</t>
  </si>
  <si>
    <t>C043</t>
  </si>
  <si>
    <t>ORD00033</t>
  </si>
  <si>
    <t>ORD00451</t>
  </si>
  <si>
    <t>ORD00174</t>
  </si>
  <si>
    <t>ORD00405</t>
  </si>
  <si>
    <t>C081</t>
  </si>
  <si>
    <t>ORD00161</t>
  </si>
  <si>
    <t>ORD00189</t>
  </si>
  <si>
    <t>ORD00300</t>
  </si>
  <si>
    <t>C099</t>
  </si>
  <si>
    <t>ORD00205</t>
  </si>
  <si>
    <t>ORD00217</t>
  </si>
  <si>
    <t>C048</t>
  </si>
  <si>
    <t>ORD00500</t>
  </si>
  <si>
    <t>ORD00092</t>
  </si>
  <si>
    <t>ORD00386</t>
  </si>
  <si>
    <t>ORD00163</t>
  </si>
  <si>
    <t>C096</t>
  </si>
  <si>
    <t>ORD00166</t>
  </si>
  <si>
    <t>ORD00035</t>
  </si>
  <si>
    <t>C006</t>
  </si>
  <si>
    <t>ORD00053</t>
  </si>
  <si>
    <t>C002</t>
  </si>
  <si>
    <t>ORD00113</t>
  </si>
  <si>
    <t>ORD00151</t>
  </si>
  <si>
    <t>ORD00330</t>
  </si>
  <si>
    <t>C062</t>
  </si>
  <si>
    <t>ORD00333</t>
  </si>
  <si>
    <t>ORD00048</t>
  </si>
  <si>
    <t>ORD00068</t>
  </si>
  <si>
    <t>ORD00069</t>
  </si>
  <si>
    <t>C049</t>
  </si>
  <si>
    <t>ORD00089</t>
  </si>
  <si>
    <t>C056</t>
  </si>
  <si>
    <t>ORD00111</t>
  </si>
  <si>
    <t>ORD00143</t>
  </si>
  <si>
    <t>ORD00218</t>
  </si>
  <si>
    <t>ORD00325</t>
  </si>
  <si>
    <t>ORD00458</t>
  </si>
  <si>
    <t>ORD00256</t>
  </si>
  <si>
    <t>ORD00323</t>
  </si>
  <si>
    <t>C020</t>
  </si>
  <si>
    <t>ORD00381</t>
  </si>
  <si>
    <t>C028</t>
  </si>
  <si>
    <t>ORD00402</t>
  </si>
  <si>
    <t>ORD00474</t>
  </si>
  <si>
    <t>ORD00042</t>
  </si>
  <si>
    <t>C052</t>
  </si>
  <si>
    <t>ORD00351</t>
  </si>
  <si>
    <t>C013</t>
  </si>
  <si>
    <t>ORD00397</t>
  </si>
  <si>
    <t>ORD00470</t>
  </si>
  <si>
    <t>C053</t>
  </si>
  <si>
    <t>ORD00007</t>
  </si>
  <si>
    <t>C004</t>
  </si>
  <si>
    <t>ORD00310</t>
  </si>
  <si>
    <t>ORD00136</t>
  </si>
  <si>
    <t>C071</t>
  </si>
  <si>
    <t>ORD00371</t>
  </si>
  <si>
    <t>ORD00079</t>
  </si>
  <si>
    <t>C005</t>
  </si>
  <si>
    <t>ORD00137</t>
  </si>
  <si>
    <t>ORD00213</t>
  </si>
  <si>
    <t>ORD00383</t>
  </si>
  <si>
    <t>ORD00456</t>
  </si>
  <si>
    <t>ORD00125</t>
  </si>
  <si>
    <t>ORD00403</t>
  </si>
  <si>
    <t>ORD00460</t>
  </si>
  <si>
    <t>ORD00090</t>
  </si>
  <si>
    <t>C007</t>
  </si>
  <si>
    <t>ORD00275</t>
  </si>
  <si>
    <t>C083</t>
  </si>
  <si>
    <t>ORD00277</t>
  </si>
  <si>
    <t>ORD00066</t>
  </si>
  <si>
    <t>ORD00299</t>
  </si>
  <si>
    <t>ORD00454</t>
  </si>
  <si>
    <t>ORD00332</t>
  </si>
  <si>
    <t>ORD00482</t>
  </si>
  <si>
    <t>ORD00178</t>
  </si>
  <si>
    <t>C046</t>
  </si>
  <si>
    <t>ORD00279</t>
  </si>
  <si>
    <t>ORD00328</t>
  </si>
  <si>
    <t>ORD00469</t>
  </si>
  <si>
    <t>ORD00478</t>
  </si>
  <si>
    <t>ORD00019</t>
  </si>
  <si>
    <t>C037</t>
  </si>
  <si>
    <t>ORD00331</t>
  </si>
  <si>
    <t>ORD00438</t>
  </si>
  <si>
    <t>C041</t>
  </si>
  <si>
    <t>ORD00487</t>
  </si>
  <si>
    <t>C022</t>
  </si>
  <si>
    <t>ORD00346</t>
  </si>
  <si>
    <t>ORD00376</t>
  </si>
  <si>
    <t>ORD00385</t>
  </si>
  <si>
    <t>ORD00273</t>
  </si>
  <si>
    <t>ORD00476</t>
  </si>
  <si>
    <t>ORD00229</t>
  </si>
  <si>
    <t>ORD00095</t>
  </si>
  <si>
    <t>ORD00010</t>
  </si>
  <si>
    <t>ORD00318</t>
  </si>
  <si>
    <t>ORD00126</t>
  </si>
  <si>
    <t>ORD00005</t>
  </si>
  <si>
    <t>ORD00154</t>
  </si>
  <si>
    <t>ORD00442</t>
  </si>
  <si>
    <t>ORD00062</t>
  </si>
  <si>
    <t>ORD00070</t>
  </si>
  <si>
    <t>ORD00296</t>
  </si>
  <si>
    <t>ORD00100</t>
  </si>
  <si>
    <t>C003</t>
  </si>
  <si>
    <t>ORD00185</t>
  </si>
  <si>
    <t>ORD00087</t>
  </si>
  <si>
    <t>ORD00123</t>
  </si>
  <si>
    <t>ORD00197</t>
  </si>
  <si>
    <t>ORD00219</t>
  </si>
  <si>
    <t>ORD00097</t>
  </si>
  <si>
    <t>ORD00436</t>
  </si>
  <si>
    <t>C087</t>
  </si>
  <si>
    <t>ORD00241</t>
  </si>
  <si>
    <t>ORD00404</t>
  </si>
  <si>
    <t>ORD00483</t>
  </si>
  <si>
    <t>ORD00426</t>
  </si>
  <si>
    <t>ORD00427</t>
  </si>
  <si>
    <t>C063</t>
  </si>
  <si>
    <t>ORD00073</t>
  </si>
  <si>
    <t>ORD00191</t>
  </si>
  <si>
    <t>ORD00396</t>
  </si>
  <si>
    <t>ORD00430</t>
  </si>
  <si>
    <t>ORD00006</t>
  </si>
  <si>
    <t>ORD00017</t>
  </si>
  <si>
    <t>ORD00077</t>
  </si>
  <si>
    <t>ORD00134</t>
  </si>
  <si>
    <t>ORD00238</t>
  </si>
  <si>
    <t>ORD00016</t>
  </si>
  <si>
    <t>ORD00058</t>
  </si>
  <si>
    <t>ORD00131</t>
  </si>
  <si>
    <t>C024</t>
  </si>
  <si>
    <t>ORD00294</t>
  </si>
  <si>
    <t>C033</t>
  </si>
  <si>
    <t>ORD00472</t>
  </si>
  <si>
    <t>ORD00127</t>
  </si>
  <si>
    <t>ORD00003</t>
  </si>
  <si>
    <t>ORD00105</t>
  </si>
  <si>
    <t>ORD00209</t>
  </si>
  <si>
    <t>ORD00320</t>
  </si>
  <si>
    <t>C014</t>
  </si>
  <si>
    <t>ORD00054</t>
  </si>
  <si>
    <t>ORD00118</t>
  </si>
  <si>
    <t>C075</t>
  </si>
  <si>
    <t>ORD00210</t>
  </si>
  <si>
    <t>ORD00041</t>
  </si>
  <si>
    <t>ORD00086</t>
  </si>
  <si>
    <t>ORD00245</t>
  </si>
  <si>
    <t>ORD00047</t>
  </si>
  <si>
    <t>ORD00214</t>
  </si>
  <si>
    <t>ORD00339</t>
  </si>
  <si>
    <t>C038</t>
  </si>
  <si>
    <t>ORD00375</t>
  </si>
  <si>
    <t>ORD00102</t>
  </si>
  <si>
    <t>C095</t>
  </si>
  <si>
    <t>ORD00085</t>
  </si>
  <si>
    <t>ORD00106</t>
  </si>
  <si>
    <t>C023</t>
  </si>
  <si>
    <t>ORD00455</t>
  </si>
  <si>
    <t>ORD00468</t>
  </si>
  <si>
    <t>ORD00027</t>
  </si>
  <si>
    <t>ORD00056</t>
  </si>
  <si>
    <t>ORD00354</t>
  </si>
  <si>
    <t>ORD00367</t>
  </si>
  <si>
    <t>C072</t>
  </si>
  <si>
    <t>ORD00493</t>
  </si>
  <si>
    <t>ORD00280</t>
  </si>
  <si>
    <t>ORD00377</t>
  </si>
  <si>
    <t>ORD00444</t>
  </si>
  <si>
    <t>ORD00304</t>
  </si>
  <si>
    <t>C032</t>
  </si>
  <si>
    <t>ORD00212</t>
  </si>
  <si>
    <t>ORD00457</t>
  </si>
  <si>
    <t>ORD00001</t>
  </si>
  <si>
    <t>ORD00043</t>
  </si>
  <si>
    <t>ORD00107</t>
  </si>
  <si>
    <t>ORD00141</t>
  </si>
  <si>
    <t>ORD00343</t>
  </si>
  <si>
    <t>ORD00394</t>
  </si>
  <si>
    <t>ORD00104</t>
  </si>
  <si>
    <t>ORD00088</t>
  </si>
  <si>
    <t>ORD00165</t>
  </si>
  <si>
    <t>ORD00477</t>
  </si>
  <si>
    <t>ORD00119</t>
  </si>
  <si>
    <t>ORD00221</t>
  </si>
  <si>
    <t>ORD00284</t>
  </si>
  <si>
    <t>ORD00303</t>
  </si>
  <si>
    <t>ORD00347</t>
  </si>
  <si>
    <t>ORD00352</t>
  </si>
  <si>
    <t>ORD00182</t>
  </si>
  <si>
    <t>ORD00215</t>
  </si>
  <si>
    <t>ORD00243</t>
  </si>
  <si>
    <t>ORD00415</t>
  </si>
  <si>
    <t>ORD00421</t>
  </si>
  <si>
    <t>ORD00021</t>
  </si>
  <si>
    <t>ORD00281</t>
  </si>
  <si>
    <t>ORD00453</t>
  </si>
  <si>
    <t>ORD00496</t>
  </si>
  <si>
    <t>ORD00263</t>
  </si>
  <si>
    <t>ORD00362</t>
  </si>
  <si>
    <t>ORD00364</t>
  </si>
  <si>
    <t>ORD00132</t>
  </si>
  <si>
    <t>ORD00248</t>
  </si>
  <si>
    <t>ORD00413</t>
  </si>
  <si>
    <t>ORD00233</t>
  </si>
  <si>
    <t>ORD00298</t>
  </si>
  <si>
    <t>ORD00410</t>
  </si>
  <si>
    <t>ORD00045</t>
  </si>
  <si>
    <t>ORD00135</t>
  </si>
  <si>
    <t>ORD00181</t>
  </si>
  <si>
    <t>ORD00471</t>
  </si>
  <si>
    <t>ORD00110</t>
  </si>
  <si>
    <t>ORD00121</t>
  </si>
  <si>
    <t>ORD00223</t>
  </si>
  <si>
    <t>ORD00186</t>
  </si>
  <si>
    <t>C044</t>
  </si>
  <si>
    <t>ORD00319</t>
  </si>
  <si>
    <t>ORD00452</t>
  </si>
  <si>
    <t>C091</t>
  </si>
  <si>
    <t>ORD00018</t>
  </si>
  <si>
    <t>ORD00152</t>
  </si>
  <si>
    <t>ORD00236</t>
  </si>
  <si>
    <t>ORD00448</t>
  </si>
  <si>
    <t>ORD00190</t>
  </si>
  <si>
    <t>ORD00349</t>
  </si>
  <si>
    <t>ORD00122</t>
  </si>
  <si>
    <t>ORD00155</t>
  </si>
  <si>
    <t>ORD00433</t>
  </si>
  <si>
    <t>ORD00232</t>
  </si>
  <si>
    <t>ORD00046</t>
  </si>
  <si>
    <t>ORD00307</t>
  </si>
  <si>
    <t>ORD00188</t>
  </si>
  <si>
    <t>ORD00026</t>
  </si>
  <si>
    <t>ORD00051</t>
  </si>
  <si>
    <t>ORD00293</t>
  </si>
  <si>
    <t>ORD00484</t>
  </si>
  <si>
    <t>ORD00022</t>
  </si>
  <si>
    <t>ORD00124</t>
  </si>
  <si>
    <t>ORD00207</t>
  </si>
  <si>
    <t>ORD00101</t>
  </si>
  <si>
    <t>ORD00246</t>
  </si>
  <si>
    <t>ORD00251</t>
  </si>
  <si>
    <t>ORD00179</t>
  </si>
  <si>
    <t>ORD00230</t>
  </si>
  <si>
    <t>ORD00439</t>
  </si>
  <si>
    <t>ORD00015</t>
  </si>
  <si>
    <t>ORD00414</t>
  </si>
  <si>
    <t>ORD00252</t>
  </si>
  <si>
    <t>ORD00032</t>
  </si>
  <si>
    <t>ORD00288</t>
  </si>
  <si>
    <t>ORD00360</t>
  </si>
  <si>
    <t>ORD00098</t>
  </si>
  <si>
    <t>ORD00244</t>
  </si>
  <si>
    <t>ORD00115</t>
  </si>
  <si>
    <t>ORD00283</t>
  </si>
  <si>
    <t>ORD00297</t>
  </si>
  <si>
    <t>ORD00311</t>
  </si>
  <si>
    <t>ORD00028</t>
  </si>
  <si>
    <t>ORD00356</t>
  </si>
  <si>
    <t>ORD00463</t>
  </si>
  <si>
    <t>ORD00061</t>
  </si>
  <si>
    <t>ORD00080</t>
  </si>
  <si>
    <t>ORD00153</t>
  </si>
  <si>
    <t>ORD00338</t>
  </si>
  <si>
    <t>ORD00387</t>
  </si>
  <si>
    <t>ORD00302</t>
  </si>
  <si>
    <t>ORD00337</t>
  </si>
  <si>
    <t>ORD00235</t>
  </si>
  <si>
    <t>ORD00264</t>
  </si>
  <si>
    <t>ORD00064</t>
  </si>
  <si>
    <t>ORD00314</t>
  </si>
  <si>
    <t>ORD00355</t>
  </si>
  <si>
    <t>ORD00378</t>
  </si>
  <si>
    <t>ORD00147</t>
  </si>
  <si>
    <t>C059</t>
  </si>
  <si>
    <t>ORD00228</t>
  </si>
  <si>
    <t>ORD00050</t>
  </si>
  <si>
    <t>ORD00316</t>
  </si>
  <si>
    <t>ORD00361</t>
  </si>
  <si>
    <t>ORD00441</t>
  </si>
  <si>
    <t>ORD00156</t>
  </si>
  <si>
    <t>ORD00170</t>
  </si>
  <si>
    <t>ORD00184</t>
  </si>
  <si>
    <t>ORD00291</t>
  </si>
  <si>
    <t>ORD00411</t>
  </si>
  <si>
    <t>ORD00317</t>
  </si>
  <si>
    <t>ORD00084</t>
  </si>
  <si>
    <t>C055</t>
  </si>
  <si>
    <t>ORD00268</t>
  </si>
  <si>
    <t>ORD00315</t>
  </si>
  <si>
    <t>ORD00029</t>
  </si>
  <si>
    <t>ORD00259</t>
  </si>
  <si>
    <t>ORD00373</t>
  </si>
  <si>
    <t>ORD00276</t>
  </si>
  <si>
    <t>ORD00443</t>
  </si>
  <si>
    <t>ORD00168</t>
  </si>
  <si>
    <t>C017</t>
  </si>
  <si>
    <t>ORD00216</t>
  </si>
  <si>
    <t>ORD00306</t>
  </si>
  <si>
    <t>ORD00312</t>
  </si>
  <si>
    <t>ORD00344</t>
  </si>
  <si>
    <t>ORD00447</t>
  </si>
  <si>
    <t>ORD00326</t>
  </si>
  <si>
    <t>ORD00335</t>
  </si>
  <si>
    <t>ORD00167</t>
  </si>
  <si>
    <t>ORD00193</t>
  </si>
  <si>
    <t>ORD00187</t>
  </si>
  <si>
    <t>ORD00012</t>
  </si>
  <si>
    <t>ORD00103</t>
  </si>
  <si>
    <t>C076</t>
  </si>
  <si>
    <t>ORD00177</t>
  </si>
  <si>
    <t>C061</t>
  </si>
  <si>
    <t>ORD00011</t>
  </si>
  <si>
    <t>ORD00025</t>
  </si>
  <si>
    <t>ORD00055</t>
  </si>
  <si>
    <t>ORD00116</t>
  </si>
  <si>
    <t>ORD00138</t>
  </si>
  <si>
    <t>ORD00220</t>
  </si>
  <si>
    <t>ORD00253</t>
  </si>
  <si>
    <t>ORD00336</t>
  </si>
  <si>
    <t>ORD00445</t>
  </si>
  <si>
    <t>ORD00270</t>
  </si>
  <si>
    <t>ORD00390</t>
  </si>
  <si>
    <t>ORD00419</t>
  </si>
  <si>
    <t>ORD00446</t>
  </si>
  <si>
    <t>ORD00065</t>
  </si>
  <si>
    <t>ORD00225</t>
  </si>
  <si>
    <t>ORD00418</t>
  </si>
  <si>
    <t>ORD00150</t>
  </si>
  <si>
    <t>ORD00224</t>
  </si>
  <si>
    <t>ORD00465</t>
  </si>
  <si>
    <t>ORD00052</t>
  </si>
  <si>
    <t>ORD00201</t>
  </si>
  <si>
    <t>ORD00388</t>
  </si>
  <si>
    <t>ORD00440</t>
  </si>
  <si>
    <t>ORD00494</t>
  </si>
  <si>
    <t>ORD00206</t>
  </si>
  <si>
    <t>ORD00258</t>
  </si>
  <si>
    <t>ORD00308</t>
  </si>
  <si>
    <t>ORD00475</t>
  </si>
  <si>
    <t>ORD00004</t>
  </si>
  <si>
    <t>ORD00013</t>
  </si>
  <si>
    <t>ORD00467</t>
  </si>
  <si>
    <t>ORD00128</t>
  </si>
  <si>
    <t>ORD00162</t>
  </si>
  <si>
    <t>ORD00488</t>
  </si>
  <si>
    <t>ORD00194</t>
  </si>
  <si>
    <t>ORD00262</t>
  </si>
  <si>
    <t>ORD00450</t>
  </si>
  <si>
    <t>ORD00183</t>
  </si>
  <si>
    <t>ORD00060</t>
  </si>
  <si>
    <t>ORD00260</t>
  </si>
  <si>
    <t>ORD00424</t>
  </si>
  <si>
    <t>ORD00449</t>
  </si>
  <si>
    <t>ORD00057</t>
  </si>
  <si>
    <t>ORD00358</t>
  </si>
  <si>
    <t>ORD00160</t>
  </si>
  <si>
    <t>ORD00417</t>
  </si>
  <si>
    <t>ORD00071</t>
  </si>
  <si>
    <t>ORD00278</t>
  </si>
  <si>
    <t>ORD00176</t>
  </si>
  <si>
    <t>ORD00423</t>
  </si>
  <si>
    <t>ORD00036</t>
  </si>
  <si>
    <t>ORD00231</t>
  </si>
  <si>
    <t>ORD00345</t>
  </si>
  <si>
    <t>C018</t>
  </si>
  <si>
    <t>ORD00031</t>
  </si>
  <si>
    <t>ORD00203</t>
  </si>
  <si>
    <t>ORD00490</t>
  </si>
  <si>
    <t>C031</t>
  </si>
  <si>
    <t>ORD00008</t>
  </si>
  <si>
    <t>ORD00067</t>
  </si>
  <si>
    <t>ORD00091</t>
  </si>
  <si>
    <t>ORD00348</t>
  </si>
  <si>
    <t>ORD00171</t>
  </si>
  <si>
    <t>ORD00038</t>
  </si>
  <si>
    <t>ORD00473</t>
  </si>
  <si>
    <t>ORD00254</t>
  </si>
  <si>
    <t>ORD00034</t>
  </si>
  <si>
    <t>ORD00076</t>
  </si>
  <si>
    <t>ORD00204</t>
  </si>
  <si>
    <t>ORD00169</t>
  </si>
  <si>
    <t>ORD00382</t>
  </si>
  <si>
    <t>ORD00144</t>
  </si>
  <si>
    <t>ORD00407</t>
  </si>
  <si>
    <t>ORD00072</t>
  </si>
  <si>
    <t>ORD00117</t>
  </si>
  <si>
    <t>ORD00208</t>
  </si>
  <si>
    <t>ORD00400</t>
  </si>
  <si>
    <t>ORD00437</t>
  </si>
  <si>
    <t>ORD00498</t>
  </si>
  <si>
    <t>ORD00023</t>
  </si>
  <si>
    <t>ORD00173</t>
  </si>
  <si>
    <t>ORD00175</t>
  </si>
  <si>
    <t>ORD00114</t>
  </si>
  <si>
    <t>ORD00202</t>
  </si>
  <si>
    <t>ORD00237</t>
  </si>
  <si>
    <t>ORD00431</t>
  </si>
  <si>
    <t>ORD00075</t>
  </si>
  <si>
    <t>ORD00289</t>
  </si>
  <si>
    <t>ORD00180</t>
  </si>
  <si>
    <t>ORD00274</t>
  </si>
  <si>
    <t>ORD00466</t>
  </si>
  <si>
    <t>ORD00269</t>
  </si>
  <si>
    <t>ORD00340</t>
  </si>
  <si>
    <t>ORD00486</t>
  </si>
  <si>
    <t>ORD00234</t>
  </si>
  <si>
    <t>ORD00363</t>
  </si>
  <si>
    <t>ORD00324</t>
  </si>
  <si>
    <t>ORD00389</t>
  </si>
  <si>
    <t>ORD00401</t>
  </si>
  <si>
    <t>ORD00462</t>
  </si>
  <si>
    <t>ORD00239</t>
  </si>
  <si>
    <t>ORD00497</t>
  </si>
  <si>
    <t>ORD00285</t>
  </si>
  <si>
    <t>ORD00409</t>
  </si>
  <si>
    <t>ORD00461</t>
  </si>
  <si>
    <t>ORD00149</t>
  </si>
  <si>
    <t>ORD00435</t>
  </si>
  <si>
    <t>ORD00130</t>
  </si>
  <si>
    <t>ORD00083</t>
  </si>
  <si>
    <t>ORD00327</t>
  </si>
  <si>
    <t>ORD00369</t>
  </si>
  <si>
    <t>ORD00321</t>
  </si>
  <si>
    <t>ORD00039</t>
  </si>
  <si>
    <t>ORD00249</t>
  </si>
  <si>
    <t>ORD00322</t>
  </si>
  <si>
    <t>ORD00399</t>
  </si>
  <si>
    <t>ORD00479</t>
  </si>
  <si>
    <t>ORD00485</t>
  </si>
  <si>
    <t>ORD00094</t>
  </si>
  <si>
    <t>ORD00140</t>
  </si>
  <si>
    <t>ORD00495</t>
  </si>
  <si>
    <t>ORD00030</t>
  </si>
  <si>
    <t>ORD00172</t>
  </si>
  <si>
    <t>ORD00226</t>
  </si>
  <si>
    <t>ORD00250</t>
  </si>
  <si>
    <t>ORD00272</t>
  </si>
  <si>
    <t>ORD00093</t>
  </si>
  <si>
    <t>ORD00372</t>
  </si>
  <si>
    <t>ORD00109</t>
  </si>
  <si>
    <t>ORD00199</t>
  </si>
  <si>
    <t>ORD00464</t>
  </si>
  <si>
    <t>ORD00159</t>
  </si>
  <si>
    <t>ORD00265</t>
  </si>
  <si>
    <t>ORD00020</t>
  </si>
  <si>
    <t>ORD00393</t>
  </si>
  <si>
    <t>ORD00395</t>
  </si>
  <si>
    <t>ORD00425</t>
  </si>
  <si>
    <t>ORD00037</t>
  </si>
  <si>
    <t>ORD00120</t>
  </si>
  <si>
    <t>ORD00164</t>
  </si>
  <si>
    <t>ORD00412</t>
  </si>
  <si>
    <t>ORD00133</t>
  </si>
  <si>
    <t>ORD00240</t>
  </si>
  <si>
    <t>ORD00024</t>
  </si>
  <si>
    <t>ORD00282</t>
  </si>
  <si>
    <t>ORD00334</t>
  </si>
  <si>
    <t>ORD00157</t>
  </si>
  <si>
    <t>ORD00158</t>
  </si>
  <si>
    <t>ORD00329</t>
  </si>
  <si>
    <t>ORD00286</t>
  </si>
  <si>
    <t>ORD00499</t>
  </si>
  <si>
    <t>ORD00096</t>
  </si>
  <si>
    <t>ORD00192</t>
  </si>
  <si>
    <t>ORD00353</t>
  </si>
  <si>
    <t>C001</t>
  </si>
  <si>
    <t>ORD00359</t>
  </si>
  <si>
    <t>ORD00420</t>
  </si>
  <si>
    <t>Revenue</t>
  </si>
  <si>
    <t xml:space="preserve">Total Rev </t>
  </si>
  <si>
    <t>Total Quantity Sold</t>
  </si>
  <si>
    <t>Total Orders</t>
  </si>
  <si>
    <t>AOV</t>
  </si>
  <si>
    <t>Total revenue</t>
  </si>
  <si>
    <t>Total Quantity</t>
  </si>
  <si>
    <t>Total Revenue</t>
  </si>
  <si>
    <t>Avg Unit Price</t>
  </si>
  <si>
    <t>Q1:</t>
  </si>
  <si>
    <t>Q2:</t>
  </si>
  <si>
    <t>Q3:</t>
  </si>
  <si>
    <t>Number of Orders</t>
  </si>
  <si>
    <t>Q1: The highest total revenue</t>
  </si>
  <si>
    <t>Q2:The highest number of orders</t>
  </si>
  <si>
    <t>Q3: The highest Total Quantity</t>
  </si>
  <si>
    <t>Month</t>
  </si>
  <si>
    <t>Q2: Highest Orders</t>
  </si>
  <si>
    <t>Q3: Revenue generally decreased over the period, with a noticeable increase in July</t>
  </si>
  <si>
    <t>Q1: Highest total revenue</t>
  </si>
  <si>
    <t>Q2: Highest Number of Orders</t>
  </si>
  <si>
    <t>Higher discounts was not associated with higher revenue in this dataset. Most revenue came from transctions without discount</t>
  </si>
  <si>
    <t xml:space="preserve">Q1: Highest Revenue </t>
  </si>
  <si>
    <t>Q2: Highest number of orders</t>
  </si>
  <si>
    <t>Q3: highest total quantity</t>
  </si>
  <si>
    <t>Revenue/ Oder</t>
  </si>
  <si>
    <t>Q1: The salesperson has highest revenue/ order is:</t>
  </si>
  <si>
    <t>Q2: The salesperson has lowest revenue/ order is:</t>
  </si>
  <si>
    <t>Q1: highest rev</t>
  </si>
  <si>
    <t>Q2: highest number of orders</t>
  </si>
  <si>
    <t>Q3: highest quantity</t>
  </si>
  <si>
    <t>Q3: The salesperson who had the most orders is different from the salesperson who had the highest revenue/ order</t>
  </si>
  <si>
    <t>OR YOU CAN SEE</t>
  </si>
  <si>
    <t>Minh handled the most orders but Lan generated the highest revenue per order</t>
  </si>
  <si>
    <t>Insights 1: The customer has ID C096 had made amzing revenue and quantity of product with lower orders than C082 =&gt; should take care good at this customer</t>
  </si>
  <si>
    <t>Insights 2: Laptop is the product bring more revenue than keyboard althought keyboard is the highest quantity that company sold =&gt; increase the price of keyboard or support the program to sell laptop to make money from this product, can have buy 1 get 1, 1 laptop get 1 keyboard, etc ..</t>
  </si>
  <si>
    <t>Q1: Highest Revenue</t>
  </si>
  <si>
    <t>Insights 3: Customer có xu hướng buy new product in January more than other months in year but why take order highest in February</t>
  </si>
  <si>
    <t>Insights 1: Customer C096 generated high revenue and sold a large quantity of products with fewer orders than C082. The company should pay special ttention to this customerand consider</t>
  </si>
  <si>
    <t>offering persionallized promotions to retain this valuable customer</t>
  </si>
  <si>
    <r>
      <t>Insight 2:</t>
    </r>
    <r>
      <rPr>
        <sz val="11"/>
        <color theme="1"/>
        <rFont val="Calibri"/>
        <family val="2"/>
        <scheme val="minor"/>
      </rPr>
      <t xml:space="preserve"> Laptop generated the highest revenue, while Keyboard had the highest sales volume.</t>
    </r>
  </si>
  <si>
    <t>The company could use Keyboard as a complementary product for Laptop sales, for example by creating Laptop + Keyboard bundles.</t>
  </si>
  <si>
    <r>
      <t>Insight 3:</t>
    </r>
    <r>
      <rPr>
        <sz val="11"/>
        <color theme="1"/>
        <rFont val="Calibri"/>
        <family val="2"/>
        <scheme val="minor"/>
      </rPr>
      <t xml:space="preserve"> January generated the highest revenue, while February had the highest number of orders. This suggests that February had more transactions, but January generated slightly higher revenue per order.</t>
    </r>
  </si>
  <si>
    <t>TOTAL ORDERS</t>
  </si>
  <si>
    <t>TOTAL QUANTITY</t>
  </si>
  <si>
    <t xml:space="preserve">TOTAL REVENUE </t>
  </si>
  <si>
    <t>SALES PERFORMANCE DASHBOARD</t>
  </si>
  <si>
    <t>Sales Analysis | January – August 2026</t>
  </si>
  <si>
    <t>Laptop generated the highest revenue among all products.</t>
  </si>
  <si>
    <t>Revenue reached its lowest level in August, after recovering in July.</t>
  </si>
  <si>
    <t>The West region had the highest revenue, slightly outperforming the North region.</t>
  </si>
  <si>
    <t>&gt;&gt;  Focus promotional campaigns on the West and North regions to maintain their strong performance and encourage further growth.</t>
  </si>
  <si>
    <t>East generated the lowest revenue, mainly driven by the lowest number of orders and total quantity sold. The underlying reason is unclear, so further analysis of customer demographics, purchasing power, and product preferences is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</si>
</sst>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5" formatCode="yyyy\-mm\-dd\ hh:mm:ss"/>
    <numFmt numFmtId="170" formatCode="_(* #,##0.00_);_(* \(#,##0.00\);_(* &quot;-&quot;_);_(@_)"/>
  </numFmts>
  <fonts count="8"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sz val="16"/>
      <color theme="1"/>
      <name val="Calibri"/>
      <family val="2"/>
      <scheme val="minor"/>
    </font>
    <font>
      <b/>
      <sz val="14"/>
      <color theme="1"/>
      <name val="Calibri"/>
      <family val="2"/>
      <scheme val="minor"/>
    </font>
    <font>
      <b/>
      <sz val="18"/>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1" fontId="2" fillId="0" borderId="0" applyFont="0" applyFill="0" applyBorder="0" applyAlignment="0" applyProtection="0"/>
    <xf numFmtId="9" fontId="2" fillId="0" borderId="0" applyFont="0" applyFill="0" applyBorder="0" applyAlignment="0" applyProtection="0"/>
  </cellStyleXfs>
  <cellXfs count="35">
    <xf numFmtId="0" fontId="0" fillId="0" borderId="0" xfId="0"/>
    <xf numFmtId="0" fontId="1" fillId="0" borderId="1" xfId="0" applyFont="1" applyBorder="1" applyAlignment="1">
      <alignment horizontal="center" vertical="top"/>
    </xf>
    <xf numFmtId="165" fontId="0" fillId="0" borderId="0" xfId="0" applyNumberFormat="1"/>
    <xf numFmtId="4" fontId="0" fillId="0" borderId="0" xfId="0" applyNumberFormat="1"/>
    <xf numFmtId="9" fontId="0" fillId="0" borderId="0" xfId="0" applyNumberFormat="1"/>
    <xf numFmtId="0" fontId="1" fillId="0" borderId="2" xfId="0" applyFont="1" applyFill="1" applyBorder="1" applyAlignment="1">
      <alignment horizontal="center" vertical="top"/>
    </xf>
    <xf numFmtId="0" fontId="0" fillId="0" borderId="1" xfId="0" applyBorder="1"/>
    <xf numFmtId="0" fontId="3" fillId="0" borderId="1" xfId="0" applyFont="1" applyBorder="1"/>
    <xf numFmtId="41" fontId="0" fillId="0" borderId="1" xfId="1" applyFont="1" applyBorder="1"/>
    <xf numFmtId="0" fontId="3" fillId="0" borderId="0" xfId="0" applyFont="1"/>
    <xf numFmtId="170" fontId="0" fillId="0" borderId="1" xfId="1" applyNumberFormat="1" applyFont="1" applyBorder="1"/>
    <xf numFmtId="170" fontId="0" fillId="0" borderId="0" xfId="0" applyNumberFormat="1"/>
    <xf numFmtId="170" fontId="1" fillId="0" borderId="1" xfId="1" applyNumberFormat="1" applyFont="1" applyBorder="1" applyAlignment="1">
      <alignment horizontal="center" vertical="top"/>
    </xf>
    <xf numFmtId="170" fontId="3" fillId="0" borderId="1" xfId="1" applyNumberFormat="1" applyFont="1" applyBorder="1"/>
    <xf numFmtId="170" fontId="0" fillId="0" borderId="0" xfId="1" applyNumberFormat="1" applyFont="1" applyFill="1" applyBorder="1"/>
    <xf numFmtId="170" fontId="0" fillId="0" borderId="0" xfId="1" applyNumberFormat="1" applyFont="1"/>
    <xf numFmtId="9" fontId="0" fillId="0" borderId="0" xfId="2" applyFont="1"/>
    <xf numFmtId="9" fontId="0" fillId="0" borderId="1" xfId="2" applyNumberFormat="1" applyFont="1" applyBorder="1"/>
    <xf numFmtId="41" fontId="4" fillId="0" borderId="1" xfId="0" applyNumberFormat="1" applyFont="1" applyBorder="1" applyAlignment="1">
      <alignment horizontal="center" vertical="center"/>
    </xf>
    <xf numFmtId="0" fontId="4" fillId="0" borderId="1" xfId="0" applyFont="1" applyBorder="1" applyAlignment="1">
      <alignment horizontal="center" vertical="center"/>
    </xf>
    <xf numFmtId="41" fontId="0" fillId="0" borderId="0" xfId="1" applyNumberFormat="1" applyFont="1"/>
    <xf numFmtId="170" fontId="4" fillId="0" borderId="1" xfId="0" applyNumberFormat="1" applyFont="1" applyBorder="1" applyAlignment="1">
      <alignment horizontal="center" vertical="center"/>
    </xf>
    <xf numFmtId="0" fontId="0" fillId="0" borderId="0" xfId="0" applyAlignment="1">
      <alignment vertical="center"/>
    </xf>
    <xf numFmtId="170" fontId="4" fillId="0" borderId="4" xfId="0" applyNumberFormat="1" applyFont="1" applyBorder="1" applyAlignment="1">
      <alignment horizontal="center" vertical="center"/>
    </xf>
    <xf numFmtId="170" fontId="4" fillId="0" borderId="5" xfId="0" applyNumberFormat="1" applyFont="1" applyBorder="1" applyAlignment="1">
      <alignment horizontal="center" vertical="center"/>
    </xf>
    <xf numFmtId="170" fontId="0" fillId="0" borderId="0" xfId="1" applyNumberFormat="1" applyFont="1" applyAlignment="1">
      <alignment horizontal="center" vertical="center"/>
    </xf>
    <xf numFmtId="1" fontId="0" fillId="0" borderId="1" xfId="0" applyNumberFormat="1" applyBorder="1"/>
    <xf numFmtId="41" fontId="0" fillId="0" borderId="1" xfId="1" applyNumberFormat="1" applyFont="1" applyBorder="1"/>
    <xf numFmtId="0" fontId="6" fillId="2" borderId="6" xfId="0" applyFont="1" applyFill="1" applyBorder="1" applyAlignment="1">
      <alignment horizontal="center"/>
    </xf>
    <xf numFmtId="0" fontId="6" fillId="2" borderId="3" xfId="0" applyFont="1" applyFill="1" applyBorder="1" applyAlignment="1">
      <alignment horizontal="center"/>
    </xf>
    <xf numFmtId="0" fontId="6" fillId="2" borderId="7" xfId="0" applyFont="1" applyFill="1" applyBorder="1" applyAlignment="1">
      <alignment horizontal="center"/>
    </xf>
    <xf numFmtId="0" fontId="7" fillId="2" borderId="8" xfId="0" applyFont="1" applyFill="1" applyBorder="1" applyAlignment="1">
      <alignment horizontal="center"/>
    </xf>
    <xf numFmtId="0" fontId="7" fillId="2" borderId="9" xfId="0" applyFont="1" applyFill="1" applyBorder="1" applyAlignment="1">
      <alignment horizontal="center"/>
    </xf>
    <xf numFmtId="0" fontId="7" fillId="2" borderId="10" xfId="0" applyFont="1" applyFill="1" applyBorder="1" applyAlignment="1">
      <alignment horizontal="center"/>
    </xf>
    <xf numFmtId="0" fontId="5" fillId="3" borderId="1" xfId="0" applyFont="1" applyFill="1" applyBorder="1" applyAlignment="1">
      <alignment horizontal="center" vertical="center"/>
    </xf>
  </cellXfs>
  <cellStyles count="3">
    <cellStyle name="Comma [0]" xfId="1" builtinId="6"/>
    <cellStyle name="Normal" xfId="0" builtinId="0"/>
    <cellStyle name="Percent" xfId="2" builtinId="5"/>
  </cellStyles>
  <dxfs count="5">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3" formatCode="0%"/>
    </dxf>
    <dxf>
      <numFmt numFmtId="4" formatCode="#,##0.00"/>
    </dxf>
    <dxf>
      <numFmt numFmtId="165" formatCode="yyyy\-mm\-dd\ hh:mm:ss"/>
    </dxf>
    <dxf>
      <numFmt numFmtId="165"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N" b="1"/>
              <a:t>Monthly Revenue Trend</a:t>
            </a:r>
            <a:endParaRPr lang="en-VN"/>
          </a:p>
        </c:rich>
      </c:tx>
      <c:layout>
        <c:manualLayout>
          <c:xMode val="edge"/>
          <c:yMode val="edge"/>
          <c:x val="0.3810485564304462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lineChart>
        <c:grouping val="standard"/>
        <c:varyColors val="0"/>
        <c:ser>
          <c:idx val="0"/>
          <c:order val="0"/>
          <c:tx>
            <c:strRef>
              <c:f>Sales_Data!$AK$1</c:f>
              <c:strCache>
                <c:ptCount val="1"/>
                <c:pt idx="0">
                  <c:v>Total Revenue</c:v>
                </c:pt>
              </c:strCache>
            </c:strRef>
          </c:tx>
          <c:spPr>
            <a:ln w="28575" cap="rnd">
              <a:solidFill>
                <a:schemeClr val="accent1"/>
              </a:solidFill>
              <a:round/>
            </a:ln>
            <a:effectLst/>
          </c:spPr>
          <c:marker>
            <c:symbol val="none"/>
          </c:marker>
          <c:cat>
            <c:strRef>
              <c:f>Sales_Data!$AJ$2:$AJ$9</c:f>
              <c:strCache>
                <c:ptCount val="8"/>
                <c:pt idx="0">
                  <c:v>January</c:v>
                </c:pt>
                <c:pt idx="1">
                  <c:v>February</c:v>
                </c:pt>
                <c:pt idx="2">
                  <c:v>March</c:v>
                </c:pt>
                <c:pt idx="3">
                  <c:v>April</c:v>
                </c:pt>
                <c:pt idx="4">
                  <c:v>May</c:v>
                </c:pt>
                <c:pt idx="5">
                  <c:v>June</c:v>
                </c:pt>
                <c:pt idx="6">
                  <c:v>July</c:v>
                </c:pt>
                <c:pt idx="7">
                  <c:v>August</c:v>
                </c:pt>
              </c:strCache>
            </c:strRef>
          </c:cat>
          <c:val>
            <c:numRef>
              <c:f>Sales_Data!$AK$2:$AK$9</c:f>
              <c:numCache>
                <c:formatCode>_(* #,##0.00_);_(* \(#,##0.00\);_(* "-"_);_(@_)</c:formatCode>
                <c:ptCount val="8"/>
                <c:pt idx="0">
                  <c:v>60493.516500000005</c:v>
                </c:pt>
                <c:pt idx="1">
                  <c:v>60430.577000000019</c:v>
                </c:pt>
                <c:pt idx="2">
                  <c:v>59340.822999999997</c:v>
                </c:pt>
                <c:pt idx="3">
                  <c:v>58883.694999999971</c:v>
                </c:pt>
                <c:pt idx="4">
                  <c:v>45250.00250000001</c:v>
                </c:pt>
                <c:pt idx="5">
                  <c:v>27133.691499999997</c:v>
                </c:pt>
                <c:pt idx="6">
                  <c:v>54746.964</c:v>
                </c:pt>
                <c:pt idx="7">
                  <c:v>23937.720999999998</c:v>
                </c:pt>
              </c:numCache>
            </c:numRef>
          </c:val>
          <c:smooth val="0"/>
          <c:extLst>
            <c:ext xmlns:c16="http://schemas.microsoft.com/office/drawing/2014/chart" uri="{C3380CC4-5D6E-409C-BE32-E72D297353CC}">
              <c16:uniqueId val="{00000000-F3D1-1E4F-82DF-A11A7E76FEC1}"/>
            </c:ext>
          </c:extLst>
        </c:ser>
        <c:dLbls>
          <c:showLegendKey val="0"/>
          <c:showVal val="0"/>
          <c:showCatName val="0"/>
          <c:showSerName val="0"/>
          <c:showPercent val="0"/>
          <c:showBubbleSize val="0"/>
        </c:dLbls>
        <c:smooth val="0"/>
        <c:axId val="1199508544"/>
        <c:axId val="1199506304"/>
      </c:lineChart>
      <c:catAx>
        <c:axId val="11995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99506304"/>
        <c:crosses val="autoZero"/>
        <c:auto val="1"/>
        <c:lblAlgn val="ctr"/>
        <c:lblOffset val="100"/>
        <c:noMultiLvlLbl val="0"/>
      </c:catAx>
      <c:valAx>
        <c:axId val="119950630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99508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col"/>
        <c:grouping val="clustered"/>
        <c:varyColors val="0"/>
        <c:ser>
          <c:idx val="0"/>
          <c:order val="0"/>
          <c:tx>
            <c:strRef>
              <c:f>Sales_Data!$T$1</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Sales_Data!$S$2:$S$4</c:f>
              <c:strCache>
                <c:ptCount val="3"/>
                <c:pt idx="0">
                  <c:v>Accessories</c:v>
                </c:pt>
                <c:pt idx="1">
                  <c:v>Electronics</c:v>
                </c:pt>
                <c:pt idx="2">
                  <c:v>Office</c:v>
                </c:pt>
              </c:strCache>
            </c:strRef>
          </c:cat>
          <c:val>
            <c:numRef>
              <c:f>Sales_Data!$T$2:$T$4</c:f>
              <c:numCache>
                <c:formatCode>_(* #,##0_);_(* \(#,##0\);_(* "-"_);_(@_)</c:formatCode>
                <c:ptCount val="3"/>
                <c:pt idx="0">
                  <c:v>34326.966999999997</c:v>
                </c:pt>
                <c:pt idx="1">
                  <c:v>288018.74850000005</c:v>
                </c:pt>
                <c:pt idx="2">
                  <c:v>67871.274999999994</c:v>
                </c:pt>
              </c:numCache>
            </c:numRef>
          </c:val>
          <c:extLst>
            <c:ext xmlns:c16="http://schemas.microsoft.com/office/drawing/2014/chart" uri="{C3380CC4-5D6E-409C-BE32-E72D297353CC}">
              <c16:uniqueId val="{00000000-B075-7C4E-B189-39AFD2F61179}"/>
            </c:ext>
          </c:extLst>
        </c:ser>
        <c:dLbls>
          <c:showLegendKey val="0"/>
          <c:showVal val="0"/>
          <c:showCatName val="0"/>
          <c:showSerName val="0"/>
          <c:showPercent val="0"/>
          <c:showBubbleSize val="0"/>
        </c:dLbls>
        <c:gapWidth val="219"/>
        <c:overlap val="-27"/>
        <c:axId val="1197116928"/>
        <c:axId val="1209836288"/>
      </c:barChart>
      <c:catAx>
        <c:axId val="119711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09836288"/>
        <c:crosses val="autoZero"/>
        <c:auto val="1"/>
        <c:lblAlgn val="ctr"/>
        <c:lblOffset val="100"/>
        <c:noMultiLvlLbl val="0"/>
      </c:catAx>
      <c:valAx>
        <c:axId val="120983628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97116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VN" b="1"/>
              <a:t>Revenue by Region</a:t>
            </a:r>
            <a:endParaRPr lang="en-V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VN"/>
        </a:p>
      </c:txPr>
    </c:title>
    <c:autoTitleDeleted val="0"/>
    <c:plotArea>
      <c:layout/>
      <c:barChart>
        <c:barDir val="bar"/>
        <c:grouping val="clustered"/>
        <c:varyColors val="0"/>
        <c:ser>
          <c:idx val="0"/>
          <c:order val="0"/>
          <c:tx>
            <c:strRef>
              <c:f>Sales_Data!$AF$1</c:f>
              <c:strCache>
                <c:ptCount val="1"/>
                <c:pt idx="0">
                  <c:v> Total Revenue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Sales_Data!$AE$2:$AE$6</c:f>
              <c:strCache>
                <c:ptCount val="5"/>
                <c:pt idx="0">
                  <c:v>West</c:v>
                </c:pt>
                <c:pt idx="1">
                  <c:v>South</c:v>
                </c:pt>
                <c:pt idx="2">
                  <c:v>North</c:v>
                </c:pt>
                <c:pt idx="3">
                  <c:v>Central</c:v>
                </c:pt>
                <c:pt idx="4">
                  <c:v>East</c:v>
                </c:pt>
              </c:strCache>
            </c:strRef>
          </c:cat>
          <c:val>
            <c:numRef>
              <c:f>Sales_Data!$AF$2:$AF$6</c:f>
              <c:numCache>
                <c:formatCode>0</c:formatCode>
                <c:ptCount val="5"/>
                <c:pt idx="0">
                  <c:v>93220.90499999997</c:v>
                </c:pt>
                <c:pt idx="1">
                  <c:v>74309.274500000014</c:v>
                </c:pt>
                <c:pt idx="2">
                  <c:v>93185.935499999963</c:v>
                </c:pt>
                <c:pt idx="3">
                  <c:v>84692.758500000011</c:v>
                </c:pt>
                <c:pt idx="4">
                  <c:v>58537.071499999991</c:v>
                </c:pt>
              </c:numCache>
            </c:numRef>
          </c:val>
          <c:extLst>
            <c:ext xmlns:c16="http://schemas.microsoft.com/office/drawing/2014/chart" uri="{C3380CC4-5D6E-409C-BE32-E72D297353CC}">
              <c16:uniqueId val="{00000000-FE1E-414D-9595-EECAF7556E99}"/>
            </c:ext>
          </c:extLst>
        </c:ser>
        <c:dLbls>
          <c:showLegendKey val="0"/>
          <c:showVal val="0"/>
          <c:showCatName val="0"/>
          <c:showSerName val="0"/>
          <c:showPercent val="0"/>
          <c:showBubbleSize val="0"/>
        </c:dLbls>
        <c:gapWidth val="182"/>
        <c:axId val="1229426176"/>
        <c:axId val="1229425728"/>
      </c:barChart>
      <c:catAx>
        <c:axId val="122942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29425728"/>
        <c:crosses val="autoZero"/>
        <c:auto val="1"/>
        <c:lblAlgn val="ctr"/>
        <c:lblOffset val="100"/>
        <c:noMultiLvlLbl val="0"/>
      </c:catAx>
      <c:valAx>
        <c:axId val="1229425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29426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VN" b="1"/>
              <a:t>Revenue by Product</a:t>
            </a:r>
            <a:endParaRPr lang="en-V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VN"/>
        </a:p>
      </c:txPr>
    </c:title>
    <c:autoTitleDeleted val="0"/>
    <c:plotArea>
      <c:layout/>
      <c:barChart>
        <c:barDir val="bar"/>
        <c:grouping val="clustered"/>
        <c:varyColors val="0"/>
        <c:ser>
          <c:idx val="0"/>
          <c:order val="0"/>
          <c:tx>
            <c:strRef>
              <c:f>Sales_Data!$T$6</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Sales_Data!$S$7:$S$16</c:f>
              <c:strCache>
                <c:ptCount val="10"/>
                <c:pt idx="0">
                  <c:v>Keyboard</c:v>
                </c:pt>
                <c:pt idx="1">
                  <c:v>Webcam</c:v>
                </c:pt>
                <c:pt idx="2">
                  <c:v>Mouse</c:v>
                </c:pt>
                <c:pt idx="3">
                  <c:v>Desk</c:v>
                </c:pt>
                <c:pt idx="4">
                  <c:v>Headphones</c:v>
                </c:pt>
                <c:pt idx="5">
                  <c:v>Laptop</c:v>
                </c:pt>
                <c:pt idx="6">
                  <c:v>Printer</c:v>
                </c:pt>
                <c:pt idx="7">
                  <c:v>Monitor</c:v>
                </c:pt>
                <c:pt idx="8">
                  <c:v>Tablet</c:v>
                </c:pt>
                <c:pt idx="9">
                  <c:v>Chair</c:v>
                </c:pt>
              </c:strCache>
            </c:strRef>
          </c:cat>
          <c:val>
            <c:numRef>
              <c:f>Sales_Data!$T$7:$T$16</c:f>
              <c:numCache>
                <c:formatCode>_(* #,##0_);_(* \(#,##0\);_(* "-"_);_(@_)</c:formatCode>
                <c:ptCount val="10"/>
                <c:pt idx="0">
                  <c:v>14225.472000000002</c:v>
                </c:pt>
                <c:pt idx="1">
                  <c:v>10565.881499999998</c:v>
                </c:pt>
                <c:pt idx="2">
                  <c:v>6935.6890000000021</c:v>
                </c:pt>
                <c:pt idx="3">
                  <c:v>28232.572500000002</c:v>
                </c:pt>
                <c:pt idx="4">
                  <c:v>13165.806</c:v>
                </c:pt>
                <c:pt idx="5">
                  <c:v>186011.51800000001</c:v>
                </c:pt>
                <c:pt idx="6">
                  <c:v>21974.684499999999</c:v>
                </c:pt>
                <c:pt idx="7">
                  <c:v>48511.205999999976</c:v>
                </c:pt>
                <c:pt idx="8">
                  <c:v>42930.143000000004</c:v>
                </c:pt>
                <c:pt idx="9">
                  <c:v>17664.018</c:v>
                </c:pt>
              </c:numCache>
            </c:numRef>
          </c:val>
          <c:extLst>
            <c:ext xmlns:c16="http://schemas.microsoft.com/office/drawing/2014/chart" uri="{C3380CC4-5D6E-409C-BE32-E72D297353CC}">
              <c16:uniqueId val="{00000000-6AAC-B04C-88C6-618E84CBDFDE}"/>
            </c:ext>
          </c:extLst>
        </c:ser>
        <c:dLbls>
          <c:showLegendKey val="0"/>
          <c:showVal val="0"/>
          <c:showCatName val="0"/>
          <c:showSerName val="0"/>
          <c:showPercent val="0"/>
          <c:showBubbleSize val="0"/>
        </c:dLbls>
        <c:gapWidth val="182"/>
        <c:axId val="1203936704"/>
        <c:axId val="1121612480"/>
      </c:barChart>
      <c:catAx>
        <c:axId val="120393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21612480"/>
        <c:crosses val="autoZero"/>
        <c:auto val="1"/>
        <c:lblAlgn val="ctr"/>
        <c:lblOffset val="100"/>
        <c:noMultiLvlLbl val="0"/>
      </c:catAx>
      <c:valAx>
        <c:axId val="112161248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03936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821650</xdr:colOff>
      <xdr:row>8</xdr:row>
      <xdr:rowOff>22038</xdr:rowOff>
    </xdr:from>
    <xdr:to>
      <xdr:col>5</xdr:col>
      <xdr:colOff>91440</xdr:colOff>
      <xdr:row>25</xdr:row>
      <xdr:rowOff>50800</xdr:rowOff>
    </xdr:to>
    <xdr:graphicFrame macro="">
      <xdr:nvGraphicFramePr>
        <xdr:cNvPr id="2" name="Chart 1">
          <a:extLst>
            <a:ext uri="{FF2B5EF4-FFF2-40B4-BE49-F238E27FC236}">
              <a16:creationId xmlns:a16="http://schemas.microsoft.com/office/drawing/2014/main" id="{902FCE06-3002-0C47-B829-2C30E11B2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803089</xdr:colOff>
      <xdr:row>26</xdr:row>
      <xdr:rowOff>177426</xdr:rowOff>
    </xdr:from>
    <xdr:to>
      <xdr:col>5</xdr:col>
      <xdr:colOff>765275</xdr:colOff>
      <xdr:row>41</xdr:row>
      <xdr:rowOff>100414</xdr:rowOff>
    </xdr:to>
    <xdr:graphicFrame macro="">
      <xdr:nvGraphicFramePr>
        <xdr:cNvPr id="3" name="Chart 2">
          <a:extLst>
            <a:ext uri="{FF2B5EF4-FFF2-40B4-BE49-F238E27FC236}">
              <a16:creationId xmlns:a16="http://schemas.microsoft.com/office/drawing/2014/main" id="{4E8D75A8-BFEE-BE45-B26D-A9C52E489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17178</xdr:colOff>
      <xdr:row>27</xdr:row>
      <xdr:rowOff>34701</xdr:rowOff>
    </xdr:from>
    <xdr:to>
      <xdr:col>12</xdr:col>
      <xdr:colOff>425017</xdr:colOff>
      <xdr:row>41</xdr:row>
      <xdr:rowOff>143827</xdr:rowOff>
    </xdr:to>
    <xdr:graphicFrame macro="">
      <xdr:nvGraphicFramePr>
        <xdr:cNvPr id="4" name="Chart 3">
          <a:extLst>
            <a:ext uri="{FF2B5EF4-FFF2-40B4-BE49-F238E27FC236}">
              <a16:creationId xmlns:a16="http://schemas.microsoft.com/office/drawing/2014/main" id="{6ECFC73A-FCC2-B545-8C88-3B8139CFE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264160</xdr:colOff>
      <xdr:row>8</xdr:row>
      <xdr:rowOff>28358</xdr:rowOff>
    </xdr:from>
    <xdr:to>
      <xdr:col>13</xdr:col>
      <xdr:colOff>294640</xdr:colOff>
      <xdr:row>25</xdr:row>
      <xdr:rowOff>111760</xdr:rowOff>
    </xdr:to>
    <xdr:graphicFrame macro="">
      <xdr:nvGraphicFramePr>
        <xdr:cNvPr id="5" name="Chart 4">
          <a:extLst>
            <a:ext uri="{FF2B5EF4-FFF2-40B4-BE49-F238E27FC236}">
              <a16:creationId xmlns:a16="http://schemas.microsoft.com/office/drawing/2014/main" id="{2E3597F0-3329-2E4A-B277-C0D423DDA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5B9BBF-4623-C24A-8D82-EC1B6186AB97}" name="Table4" displayName="Table4" ref="A1:M501" totalsRowShown="0" headerRowDxfId="0">
  <autoFilter ref="A1:M501" xr:uid="{2D5B9BBF-4623-C24A-8D82-EC1B6186AB97}"/>
  <tableColumns count="13">
    <tableColumn id="1" xr3:uid="{577C97C0-3A73-E94F-B9A9-AC82F910BB21}" name="Order_ID"/>
    <tableColumn id="2" xr3:uid="{B6A34AF1-8A93-644C-A7AC-8A74D248DCC1}" name="Order_Date" dataDxfId="4"/>
    <tableColumn id="3" xr3:uid="{586FE58A-5D1B-5E43-936D-7629F6ADB598}" name="Month" dataDxfId="3">
      <calculatedColumnFormula>TEXT(B2,"mmmm")</calculatedColumnFormula>
    </tableColumn>
    <tableColumn id="4" xr3:uid="{B96B06AB-1C85-1847-B970-01B01A0B1F7B}" name="Customer_ID"/>
    <tableColumn id="5" xr3:uid="{EC578F25-24FA-6046-865E-7BB815F65D4C}" name="Customer_Name"/>
    <tableColumn id="6" xr3:uid="{7E59FA97-B9E3-0A4F-94DB-4D507236D890}" name="Product"/>
    <tableColumn id="7" xr3:uid="{07ADD923-95CE-C148-BE45-A637BBE8FEC1}" name="Category"/>
    <tableColumn id="8" xr3:uid="{C6C945AF-D49D-7B41-8AB7-DE4CF5E52814}" name="Quantity"/>
    <tableColumn id="9" xr3:uid="{54BFE874-38EB-7A47-A634-3110F5BE0418}" name="Unit_Price" dataDxfId="2"/>
    <tableColumn id="10" xr3:uid="{890C9581-7B7E-E546-8245-2F2C320767BE}" name="Discount" dataDxfId="1"/>
    <tableColumn id="11" xr3:uid="{289935FC-75FA-4348-8B43-3C8C3774C61D}" name="Region"/>
    <tableColumn id="12" xr3:uid="{DF3C6706-759D-5548-8210-7FA2FF419181}" name="Salesperson"/>
    <tableColumn id="13" xr3:uid="{370FDDA3-E46B-3249-B04B-7024B7B8291C}" name="Revenue">
      <calculatedColumnFormula>I2*H2*(1-J2)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01"/>
  <sheetViews>
    <sheetView tabSelected="1" topLeftCell="P1" zoomScale="115" workbookViewId="0">
      <pane ySplit="1" topLeftCell="A2" activePane="bottomLeft" state="frozen"/>
      <selection pane="bottomLeft" activeCell="T6" sqref="T6"/>
    </sheetView>
  </sheetViews>
  <sheetFormatPr baseColWidth="10" defaultColWidth="8.83203125" defaultRowHeight="15" x14ac:dyDescent="0.2"/>
  <cols>
    <col min="1" max="1" width="10" customWidth="1"/>
    <col min="2" max="3" width="21" customWidth="1"/>
    <col min="4" max="4" width="13" customWidth="1"/>
    <col min="5" max="5" width="17" customWidth="1"/>
    <col min="6" max="6" width="12" customWidth="1"/>
    <col min="7" max="7" width="13" customWidth="1"/>
    <col min="8" max="8" width="10" customWidth="1"/>
    <col min="9" max="9" width="12" customWidth="1"/>
    <col min="10" max="10" width="10" customWidth="1"/>
    <col min="11" max="11" width="9" customWidth="1"/>
    <col min="12" max="12" width="13" customWidth="1"/>
    <col min="13" max="13" width="9.6640625" customWidth="1"/>
    <col min="15" max="15" width="15.6640625" bestFit="1" customWidth="1"/>
    <col min="16" max="16" width="11.6640625" bestFit="1" customWidth="1"/>
    <col min="17" max="17" width="17" bestFit="1" customWidth="1"/>
    <col min="18" max="18" width="12.1640625" bestFit="1" customWidth="1"/>
    <col min="19" max="19" width="9.6640625" bestFit="1" customWidth="1"/>
    <col min="20" max="20" width="18.1640625" customWidth="1"/>
    <col min="21" max="21" width="15.83203125" bestFit="1" customWidth="1"/>
    <col min="22" max="22" width="14.83203125" bestFit="1" customWidth="1"/>
    <col min="25" max="25" width="38.83203125" bestFit="1" customWidth="1"/>
    <col min="26" max="27" width="13.1640625" bestFit="1" customWidth="1"/>
    <col min="28" max="28" width="15.83203125" bestFit="1" customWidth="1"/>
    <col min="29" max="29" width="15.83203125" customWidth="1"/>
    <col min="32" max="33" width="13.1640625" bestFit="1" customWidth="1"/>
    <col min="34" max="34" width="15.83203125" bestFit="1" customWidth="1"/>
    <col min="37" max="37" width="12.1640625" bestFit="1" customWidth="1"/>
    <col min="38" max="38" width="16.6640625" bestFit="1" customWidth="1"/>
    <col min="44" max="45" width="13.1640625" bestFit="1" customWidth="1"/>
    <col min="46" max="46" width="15.83203125" bestFit="1" customWidth="1"/>
  </cols>
  <sheetData>
    <row r="1" spans="1:46" x14ac:dyDescent="0.2">
      <c r="A1" s="1" t="s">
        <v>0</v>
      </c>
      <c r="B1" s="1" t="s">
        <v>1</v>
      </c>
      <c r="C1" s="1" t="s">
        <v>667</v>
      </c>
      <c r="D1" s="1" t="s">
        <v>2</v>
      </c>
      <c r="E1" s="1" t="s">
        <v>3</v>
      </c>
      <c r="F1" s="1" t="s">
        <v>4</v>
      </c>
      <c r="G1" s="1" t="s">
        <v>5</v>
      </c>
      <c r="H1" s="1" t="s">
        <v>6</v>
      </c>
      <c r="I1" s="1" t="s">
        <v>7</v>
      </c>
      <c r="J1" s="1" t="s">
        <v>8</v>
      </c>
      <c r="K1" s="1" t="s">
        <v>9</v>
      </c>
      <c r="L1" s="1" t="s">
        <v>10</v>
      </c>
      <c r="M1" s="5" t="s">
        <v>651</v>
      </c>
      <c r="S1" s="7" t="s">
        <v>5</v>
      </c>
      <c r="T1" s="7" t="s">
        <v>656</v>
      </c>
      <c r="U1" s="7" t="s">
        <v>657</v>
      </c>
      <c r="Y1" s="12" t="s">
        <v>10</v>
      </c>
      <c r="Z1" s="13" t="s">
        <v>658</v>
      </c>
      <c r="AA1" s="13" t="s">
        <v>657</v>
      </c>
      <c r="AB1" s="13" t="s">
        <v>663</v>
      </c>
      <c r="AC1" s="13" t="s">
        <v>676</v>
      </c>
      <c r="AE1" s="1" t="s">
        <v>9</v>
      </c>
      <c r="AF1" s="13" t="s">
        <v>658</v>
      </c>
      <c r="AG1" s="13" t="s">
        <v>657</v>
      </c>
      <c r="AH1" s="13" t="s">
        <v>663</v>
      </c>
      <c r="AJ1" s="7" t="s">
        <v>667</v>
      </c>
      <c r="AK1" s="7" t="s">
        <v>658</v>
      </c>
      <c r="AL1" s="13" t="s">
        <v>663</v>
      </c>
      <c r="AQ1" s="1" t="s">
        <v>8</v>
      </c>
      <c r="AR1" s="13" t="s">
        <v>658</v>
      </c>
      <c r="AS1" s="13" t="s">
        <v>657</v>
      </c>
      <c r="AT1" s="13" t="s">
        <v>663</v>
      </c>
    </row>
    <row r="2" spans="1:46" x14ac:dyDescent="0.2">
      <c r="A2" t="s">
        <v>11</v>
      </c>
      <c r="B2" s="2">
        <v>46023</v>
      </c>
      <c r="C2" s="2" t="str">
        <f>TEXT(B2,"mmmm")</f>
        <v>January</v>
      </c>
      <c r="D2" t="s">
        <v>12</v>
      </c>
      <c r="E2" t="s">
        <v>13</v>
      </c>
      <c r="F2" t="s">
        <v>14</v>
      </c>
      <c r="G2" t="s">
        <v>15</v>
      </c>
      <c r="H2">
        <v>1</v>
      </c>
      <c r="I2" s="3">
        <v>63.21</v>
      </c>
      <c r="J2" s="4">
        <v>0.1</v>
      </c>
      <c r="K2" t="s">
        <v>16</v>
      </c>
      <c r="L2" t="s">
        <v>17</v>
      </c>
      <c r="M2">
        <f>I2*H2*(1-J2)</f>
        <v>56.889000000000003</v>
      </c>
      <c r="S2" s="6" t="s">
        <v>15</v>
      </c>
      <c r="T2" s="8">
        <f>SUMIF(G2:G501,S2,M2:M501)</f>
        <v>34326.966999999997</v>
      </c>
      <c r="U2" s="6">
        <f>SUMIF($G$2:$G$501,S2,$H$2:$H$501)</f>
        <v>653</v>
      </c>
      <c r="Y2" s="10" t="str" cm="1">
        <f t="array" ref="Y2:Y9">_xlfn.UNIQUE(L2:L501)</f>
        <v>Trang</v>
      </c>
      <c r="Z2" s="10">
        <f>SUMIF($L$2:$L$501,Y2,$M$2:$M$501)</f>
        <v>29462.522000000004</v>
      </c>
      <c r="AA2" s="10">
        <f>SUMIF($L$2:$L$501,Y2,$H$2:$H$501)</f>
        <v>182</v>
      </c>
      <c r="AB2" s="10">
        <f>COUNTIF($L$2:$L$501,Y2)</f>
        <v>66</v>
      </c>
      <c r="AC2" s="10">
        <f>Z2/AB2</f>
        <v>446.40184848484853</v>
      </c>
      <c r="AE2" s="6" t="str" cm="1">
        <f t="array" ref="AE2:AE6">_xlfn.UNIQUE(K2:K501)</f>
        <v>West</v>
      </c>
      <c r="AF2" s="26">
        <f>SUMIF(K2:$K$501,AE2,$M$2:$M$501)</f>
        <v>93220.90499999997</v>
      </c>
      <c r="AG2" s="6">
        <f>SUMIF($K$2:$K$501,AE2,$H$2:$H$501)</f>
        <v>334</v>
      </c>
      <c r="AH2" s="6">
        <f>COUNTIF($K$2:$K$501,AE2)</f>
        <v>105</v>
      </c>
      <c r="AJ2" s="6" t="str" cm="1">
        <f t="array" ref="AJ2:AJ9">_xlfn.UNIQUE(TEXT(B2:B501,"mmmm"))</f>
        <v>January</v>
      </c>
      <c r="AK2" s="10">
        <f>SUMIF($C$2:$C$501,AJ2,$M$2:$M$501)</f>
        <v>60493.516500000005</v>
      </c>
      <c r="AL2" s="6">
        <f>COUNTIF($C$2:$C$501,AJ2)</f>
        <v>59</v>
      </c>
      <c r="AQ2" s="17" cm="1">
        <f t="array" ref="AQ2:AQ6">_xlfn._xlws.SORT(_xlfn.UNIQUE(J2:J501))</f>
        <v>0</v>
      </c>
      <c r="AR2" s="10">
        <f>SUMIF($J$2:$J$501,AQ2,$M$2:$M$501)</f>
        <v>159522.00000000006</v>
      </c>
      <c r="AS2" s="6">
        <f>SUMIF($J$2:$J$501,AQ2,$H$2:$H$501)</f>
        <v>548</v>
      </c>
      <c r="AT2" s="6">
        <f>COUNTIF($J$2:$J$501,AQ2)</f>
        <v>184</v>
      </c>
    </row>
    <row r="3" spans="1:46" x14ac:dyDescent="0.2">
      <c r="A3" t="s">
        <v>18</v>
      </c>
      <c r="B3" s="2">
        <v>46024</v>
      </c>
      <c r="C3" s="2" t="str">
        <f t="shared" ref="C3:C66" si="0">TEXT(B3,"mmmm")</f>
        <v>January</v>
      </c>
      <c r="D3" t="s">
        <v>19</v>
      </c>
      <c r="E3" t="s">
        <v>20</v>
      </c>
      <c r="F3" t="s">
        <v>21</v>
      </c>
      <c r="G3" t="s">
        <v>22</v>
      </c>
      <c r="H3">
        <v>3</v>
      </c>
      <c r="I3" s="3">
        <v>69.25</v>
      </c>
      <c r="J3" s="4">
        <v>0.1</v>
      </c>
      <c r="K3" t="s">
        <v>23</v>
      </c>
      <c r="L3" t="s">
        <v>17</v>
      </c>
      <c r="M3">
        <f t="shared" ref="M3:M66" si="1">I3*H3*(1-J3)</f>
        <v>186.97499999999999</v>
      </c>
      <c r="S3" s="6" t="s">
        <v>22</v>
      </c>
      <c r="T3" s="8">
        <f>SUMIF($G$2:$G$501,S3,$M$2:$M$501)</f>
        <v>288018.74850000005</v>
      </c>
      <c r="U3" s="6">
        <f t="shared" ref="U3:U4" si="2">SUMIF($G$2:$G$501,S3,$H$2:$H$501)</f>
        <v>556</v>
      </c>
      <c r="Y3" s="10" t="str">
        <v>Lan</v>
      </c>
      <c r="Z3" s="10">
        <f t="shared" ref="Z3:Z9" si="3">SUMIF($L$2:$L$501,Y3,$M$2:$M$501)</f>
        <v>62234.936999999998</v>
      </c>
      <c r="AA3" s="10">
        <f t="shared" ref="AA3:AA9" si="4">SUMIF($L$2:$L$501,Y3,$H$2:$H$501)</f>
        <v>194</v>
      </c>
      <c r="AB3" s="10">
        <f t="shared" ref="AB3:AB9" si="5">COUNTIF($L$2:$L$501,Y3)</f>
        <v>62</v>
      </c>
      <c r="AC3" s="10">
        <f t="shared" ref="AC3:AC9" si="6">Z3/AB3</f>
        <v>1003.7893064516129</v>
      </c>
      <c r="AE3" s="6" t="str">
        <v>South</v>
      </c>
      <c r="AF3" s="26">
        <f>SUMIF(K3:$K$501,AE3,$M$2:$M$501)</f>
        <v>74309.274500000014</v>
      </c>
      <c r="AG3" s="6">
        <f t="shared" ref="AG3:AG6" si="7">SUMIF($K$2:$K$501,AE3,$H$2:$H$501)</f>
        <v>249</v>
      </c>
      <c r="AH3" s="6">
        <f t="shared" ref="AH3:AH6" si="8">COUNTIF($K$2:$K$501,AE3)</f>
        <v>94</v>
      </c>
      <c r="AJ3" s="6" t="str">
        <v>February</v>
      </c>
      <c r="AK3" s="10">
        <f t="shared" ref="AK3:AK9" si="9">SUMIF($C$2:$C$501,AJ3,$M$2:$M$501)</f>
        <v>60430.577000000019</v>
      </c>
      <c r="AL3" s="6">
        <f t="shared" ref="AL3:AL9" si="10">COUNTIF($C$2:$C$501,AJ3)</f>
        <v>72</v>
      </c>
      <c r="AQ3" s="17">
        <v>0.05</v>
      </c>
      <c r="AR3" s="10">
        <f t="shared" ref="AR3:AR6" si="11">SUMIF($J$2:$J$501,AQ3,$M$2:$M$501)</f>
        <v>111595.19849999994</v>
      </c>
      <c r="AS3" s="6">
        <f t="shared" ref="AS3:AS6" si="12">SUMIF($J$2:$J$501,AQ3,$H$2:$H$501)</f>
        <v>390</v>
      </c>
      <c r="AT3" s="6">
        <f>COUNTIF($J$2:$J$501,AQ3)</f>
        <v>138</v>
      </c>
    </row>
    <row r="4" spans="1:46" x14ac:dyDescent="0.2">
      <c r="A4" t="s">
        <v>24</v>
      </c>
      <c r="B4" s="2">
        <v>46024</v>
      </c>
      <c r="C4" s="2" t="str">
        <f t="shared" si="0"/>
        <v>January</v>
      </c>
      <c r="D4" t="s">
        <v>25</v>
      </c>
      <c r="E4" t="s">
        <v>26</v>
      </c>
      <c r="F4" t="s">
        <v>14</v>
      </c>
      <c r="G4" t="s">
        <v>15</v>
      </c>
      <c r="H4">
        <v>6</v>
      </c>
      <c r="I4" s="3">
        <v>63.12</v>
      </c>
      <c r="J4" s="4">
        <v>0.2</v>
      </c>
      <c r="K4" t="s">
        <v>27</v>
      </c>
      <c r="L4" t="s">
        <v>28</v>
      </c>
      <c r="M4">
        <f t="shared" si="1"/>
        <v>302.976</v>
      </c>
      <c r="O4" t="s">
        <v>652</v>
      </c>
      <c r="P4" s="25">
        <f>SUM(M2:M501)</f>
        <v>390216.99049999949</v>
      </c>
      <c r="S4" s="6" t="s">
        <v>43</v>
      </c>
      <c r="T4" s="8">
        <f>SUMIF($G$2:$G$501,S4,$M$2:$M$501)</f>
        <v>67871.274999999994</v>
      </c>
      <c r="U4" s="6">
        <f t="shared" si="2"/>
        <v>318</v>
      </c>
      <c r="Y4" s="10" t="str">
        <v>Chi</v>
      </c>
      <c r="Z4" s="10">
        <f t="shared" si="3"/>
        <v>52299.530999999995</v>
      </c>
      <c r="AA4" s="10">
        <f t="shared" si="4"/>
        <v>218</v>
      </c>
      <c r="AB4" s="10">
        <f t="shared" si="5"/>
        <v>69</v>
      </c>
      <c r="AC4" s="10">
        <f t="shared" si="6"/>
        <v>757.96421739130426</v>
      </c>
      <c r="AE4" s="6" t="str">
        <v>North</v>
      </c>
      <c r="AF4" s="26">
        <f>SUMIF(K4:$K$501,AE4,$M$2:$M$501)</f>
        <v>93185.935499999963</v>
      </c>
      <c r="AG4" s="6">
        <f t="shared" si="7"/>
        <v>414</v>
      </c>
      <c r="AH4" s="6">
        <f t="shared" si="8"/>
        <v>117</v>
      </c>
      <c r="AJ4" s="6" t="str">
        <v>March</v>
      </c>
      <c r="AK4" s="10">
        <f t="shared" si="9"/>
        <v>59340.822999999997</v>
      </c>
      <c r="AL4" s="6">
        <f t="shared" si="10"/>
        <v>60</v>
      </c>
      <c r="AQ4" s="17">
        <v>0.1</v>
      </c>
      <c r="AR4" s="10">
        <f t="shared" si="11"/>
        <v>83987.261999999973</v>
      </c>
      <c r="AS4" s="6">
        <f t="shared" si="12"/>
        <v>375</v>
      </c>
      <c r="AT4" s="6">
        <f>COUNTIF($J$2:$J$501,AQ4)</f>
        <v>106</v>
      </c>
    </row>
    <row r="5" spans="1:46" x14ac:dyDescent="0.2">
      <c r="A5" t="s">
        <v>29</v>
      </c>
      <c r="B5" s="2">
        <v>46026</v>
      </c>
      <c r="C5" s="2" t="str">
        <f t="shared" si="0"/>
        <v>January</v>
      </c>
      <c r="D5" t="s">
        <v>30</v>
      </c>
      <c r="E5" t="s">
        <v>31</v>
      </c>
      <c r="F5" t="s">
        <v>14</v>
      </c>
      <c r="G5" t="s">
        <v>15</v>
      </c>
      <c r="H5">
        <v>5</v>
      </c>
      <c r="I5" s="3">
        <v>61.37</v>
      </c>
      <c r="J5" s="4">
        <v>0</v>
      </c>
      <c r="K5" t="s">
        <v>16</v>
      </c>
      <c r="L5" t="s">
        <v>32</v>
      </c>
      <c r="M5">
        <f t="shared" si="1"/>
        <v>306.84999999999997</v>
      </c>
      <c r="O5" t="s">
        <v>653</v>
      </c>
      <c r="P5" s="20">
        <f>SUM(H2:H501)</f>
        <v>1527</v>
      </c>
      <c r="Y5" s="10" t="str">
        <v>Dung</v>
      </c>
      <c r="Z5" s="10">
        <f t="shared" si="3"/>
        <v>57623.360999999975</v>
      </c>
      <c r="AA5" s="10">
        <f t="shared" si="4"/>
        <v>199</v>
      </c>
      <c r="AB5" s="10">
        <f t="shared" si="5"/>
        <v>66</v>
      </c>
      <c r="AC5" s="10">
        <f t="shared" si="6"/>
        <v>873.08122727272689</v>
      </c>
      <c r="AE5" s="6" t="str">
        <v>Central</v>
      </c>
      <c r="AF5" s="26">
        <f>SUMIF(K5:$K$501,AE5,$M$2:$M$501)</f>
        <v>84692.758500000011</v>
      </c>
      <c r="AG5" s="6">
        <f t="shared" si="7"/>
        <v>314</v>
      </c>
      <c r="AH5" s="6">
        <f t="shared" si="8"/>
        <v>104</v>
      </c>
      <c r="AJ5" s="6" t="str">
        <v>April</v>
      </c>
      <c r="AK5" s="10">
        <f t="shared" si="9"/>
        <v>58883.694999999971</v>
      </c>
      <c r="AL5" s="6">
        <f t="shared" si="10"/>
        <v>67</v>
      </c>
      <c r="AQ5" s="17">
        <v>0.15</v>
      </c>
      <c r="AR5" s="10">
        <f t="shared" si="11"/>
        <v>29212.290000000005</v>
      </c>
      <c r="AS5" s="6">
        <f t="shared" si="12"/>
        <v>155</v>
      </c>
      <c r="AT5" s="6">
        <f>COUNTIF($J$2:$J$501,AQ5)</f>
        <v>53</v>
      </c>
    </row>
    <row r="6" spans="1:46" x14ac:dyDescent="0.2">
      <c r="A6" t="s">
        <v>33</v>
      </c>
      <c r="B6" s="2">
        <v>46027</v>
      </c>
      <c r="C6" s="2" t="str">
        <f t="shared" si="0"/>
        <v>January</v>
      </c>
      <c r="D6" t="s">
        <v>34</v>
      </c>
      <c r="E6" t="s">
        <v>35</v>
      </c>
      <c r="F6" t="s">
        <v>21</v>
      </c>
      <c r="G6" t="s">
        <v>22</v>
      </c>
      <c r="H6">
        <v>4</v>
      </c>
      <c r="I6" s="3">
        <v>70.77</v>
      </c>
      <c r="J6" s="4">
        <v>0</v>
      </c>
      <c r="K6" t="s">
        <v>27</v>
      </c>
      <c r="L6" t="s">
        <v>32</v>
      </c>
      <c r="M6">
        <f t="shared" si="1"/>
        <v>283.08</v>
      </c>
      <c r="O6" t="s">
        <v>654</v>
      </c>
      <c r="P6" s="20">
        <f>COUNTA(A2:A501)</f>
        <v>500</v>
      </c>
      <c r="S6" s="7" t="s">
        <v>4</v>
      </c>
      <c r="T6" s="7" t="s">
        <v>658</v>
      </c>
      <c r="U6" s="7" t="s">
        <v>657</v>
      </c>
      <c r="V6" s="7" t="s">
        <v>659</v>
      </c>
      <c r="Y6" s="10" t="str">
        <v>An</v>
      </c>
      <c r="Z6" s="10">
        <f t="shared" si="3"/>
        <v>43487.470999999998</v>
      </c>
      <c r="AA6" s="10">
        <f t="shared" si="4"/>
        <v>169</v>
      </c>
      <c r="AB6" s="10">
        <f t="shared" si="5"/>
        <v>52</v>
      </c>
      <c r="AC6" s="10">
        <f t="shared" si="6"/>
        <v>836.29751923076924</v>
      </c>
      <c r="AE6" s="6" t="str">
        <v>East</v>
      </c>
      <c r="AF6" s="26">
        <f>SUMIF(K6:$K$501,AE6,$M$2:$M$501)</f>
        <v>58537.071499999991</v>
      </c>
      <c r="AG6" s="6">
        <f t="shared" si="7"/>
        <v>216</v>
      </c>
      <c r="AH6" s="6">
        <f t="shared" si="8"/>
        <v>80</v>
      </c>
      <c r="AJ6" s="6" t="str">
        <v>May</v>
      </c>
      <c r="AK6" s="10">
        <f t="shared" si="9"/>
        <v>45250.00250000001</v>
      </c>
      <c r="AL6" s="6">
        <f t="shared" si="10"/>
        <v>69</v>
      </c>
      <c r="AQ6" s="17">
        <v>0.2</v>
      </c>
      <c r="AR6" s="10">
        <f t="shared" si="11"/>
        <v>5900.24</v>
      </c>
      <c r="AS6" s="6">
        <f t="shared" si="12"/>
        <v>59</v>
      </c>
      <c r="AT6" s="6">
        <f>COUNTIF($J$2:$J$501,AQ6)</f>
        <v>19</v>
      </c>
    </row>
    <row r="7" spans="1:46" x14ac:dyDescent="0.2">
      <c r="A7" t="s">
        <v>36</v>
      </c>
      <c r="B7" s="2">
        <v>46027</v>
      </c>
      <c r="C7" s="2" t="str">
        <f t="shared" si="0"/>
        <v>January</v>
      </c>
      <c r="D7" t="s">
        <v>37</v>
      </c>
      <c r="E7" t="s">
        <v>20</v>
      </c>
      <c r="F7" t="s">
        <v>38</v>
      </c>
      <c r="G7" t="s">
        <v>15</v>
      </c>
      <c r="H7">
        <v>1</v>
      </c>
      <c r="I7" s="3">
        <v>32.090000000000003</v>
      </c>
      <c r="J7" s="4">
        <v>0</v>
      </c>
      <c r="K7" t="s">
        <v>16</v>
      </c>
      <c r="L7" t="s">
        <v>28</v>
      </c>
      <c r="M7">
        <f t="shared" si="1"/>
        <v>32.090000000000003</v>
      </c>
      <c r="O7" t="s">
        <v>655</v>
      </c>
      <c r="P7" s="15">
        <f>P4/P6</f>
        <v>780.43398099999899</v>
      </c>
      <c r="S7" s="6" t="str" cm="1">
        <f t="array" ref="S7:S16">_xlfn.UNIQUE(F2:F501)</f>
        <v>Keyboard</v>
      </c>
      <c r="T7" s="27">
        <f>SUMIF($F$2:$F$501,S7,$M$2:$M$501)</f>
        <v>14225.472000000002</v>
      </c>
      <c r="U7" s="10">
        <f>SUMIF($F$2:$F$501,S7,$H$2:$H$501)</f>
        <v>253</v>
      </c>
      <c r="V7" s="10">
        <f>AVERAGEIF($F$2:$F$501,S7,$I$2:$I$501)</f>
        <v>60.113230769230768</v>
      </c>
      <c r="Y7" s="10" t="str">
        <v>Binh</v>
      </c>
      <c r="Z7" s="10">
        <f t="shared" si="3"/>
        <v>37839.884000000005</v>
      </c>
      <c r="AA7" s="10">
        <f t="shared" si="4"/>
        <v>149</v>
      </c>
      <c r="AB7" s="10">
        <f t="shared" si="5"/>
        <v>50</v>
      </c>
      <c r="AC7" s="10">
        <f t="shared" si="6"/>
        <v>756.79768000000013</v>
      </c>
      <c r="AJ7" s="6" t="str">
        <v>June</v>
      </c>
      <c r="AK7" s="10">
        <f t="shared" si="9"/>
        <v>27133.691499999997</v>
      </c>
      <c r="AL7" s="6">
        <f t="shared" si="10"/>
        <v>61</v>
      </c>
    </row>
    <row r="8" spans="1:46" x14ac:dyDescent="0.2">
      <c r="A8" t="s">
        <v>39</v>
      </c>
      <c r="B8" s="2">
        <v>46028</v>
      </c>
      <c r="C8" s="2" t="str">
        <f t="shared" si="0"/>
        <v>January</v>
      </c>
      <c r="D8" t="s">
        <v>40</v>
      </c>
      <c r="E8" t="s">
        <v>41</v>
      </c>
      <c r="F8" t="s">
        <v>42</v>
      </c>
      <c r="G8" t="s">
        <v>43</v>
      </c>
      <c r="H8">
        <v>2</v>
      </c>
      <c r="I8" s="3">
        <v>297.95</v>
      </c>
      <c r="J8" s="4">
        <v>0.1</v>
      </c>
      <c r="K8" t="s">
        <v>44</v>
      </c>
      <c r="L8" t="s">
        <v>32</v>
      </c>
      <c r="M8">
        <f t="shared" si="1"/>
        <v>536.30999999999995</v>
      </c>
      <c r="S8" s="6" t="str">
        <v>Webcam</v>
      </c>
      <c r="T8" s="27">
        <f t="shared" ref="T8:T16" si="13">SUMIF($F$2:$F$501,S8,$M$2:$M$501)</f>
        <v>10565.881499999998</v>
      </c>
      <c r="U8" s="10">
        <f t="shared" ref="U8:U16" si="14">SUMIF($F$2:$F$501,S8,$H$2:$H$501)</f>
        <v>152</v>
      </c>
      <c r="V8" s="10">
        <f t="shared" ref="V8:V16" si="15">AVERAGEIF($F$2:$F$501,S8,$I$2:$I$501)</f>
        <v>74.330624999999984</v>
      </c>
      <c r="Y8" s="10" t="str">
        <v>Minh</v>
      </c>
      <c r="Z8" s="10">
        <f t="shared" si="3"/>
        <v>61466.325499999992</v>
      </c>
      <c r="AA8" s="10">
        <f t="shared" si="4"/>
        <v>235</v>
      </c>
      <c r="AB8" s="10">
        <f t="shared" si="5"/>
        <v>71</v>
      </c>
      <c r="AC8" s="10">
        <f t="shared" si="6"/>
        <v>865.72289436619701</v>
      </c>
      <c r="AJ8" s="6" t="str">
        <v>July</v>
      </c>
      <c r="AK8" s="10">
        <f t="shared" si="9"/>
        <v>54746.964</v>
      </c>
      <c r="AL8" s="6">
        <f t="shared" si="10"/>
        <v>60</v>
      </c>
      <c r="AQ8" t="s">
        <v>670</v>
      </c>
    </row>
    <row r="9" spans="1:46" x14ac:dyDescent="0.2">
      <c r="A9" t="s">
        <v>45</v>
      </c>
      <c r="B9" s="2">
        <v>46029</v>
      </c>
      <c r="C9" s="2" t="str">
        <f t="shared" si="0"/>
        <v>January</v>
      </c>
      <c r="D9" t="s">
        <v>46</v>
      </c>
      <c r="E9" t="s">
        <v>47</v>
      </c>
      <c r="F9" t="s">
        <v>48</v>
      </c>
      <c r="G9" t="s">
        <v>15</v>
      </c>
      <c r="H9">
        <v>2</v>
      </c>
      <c r="I9" s="3">
        <v>84.54</v>
      </c>
      <c r="J9" s="4">
        <v>0</v>
      </c>
      <c r="K9" t="s">
        <v>23</v>
      </c>
      <c r="L9" t="s">
        <v>32</v>
      </c>
      <c r="M9">
        <f t="shared" si="1"/>
        <v>169.08</v>
      </c>
      <c r="S9" s="6" t="str">
        <v>Mouse</v>
      </c>
      <c r="T9" s="27">
        <f t="shared" si="13"/>
        <v>6935.6890000000021</v>
      </c>
      <c r="U9" s="10">
        <f t="shared" si="14"/>
        <v>246</v>
      </c>
      <c r="V9" s="10">
        <f t="shared" si="15"/>
        <v>29.798823529411781</v>
      </c>
      <c r="Y9" s="10" t="str">
        <v>Huy</v>
      </c>
      <c r="Z9" s="10">
        <f t="shared" si="3"/>
        <v>45802.959000000003</v>
      </c>
      <c r="AA9" s="10">
        <f t="shared" si="4"/>
        <v>181</v>
      </c>
      <c r="AB9" s="10">
        <f t="shared" si="5"/>
        <v>64</v>
      </c>
      <c r="AC9" s="10">
        <f t="shared" si="6"/>
        <v>715.67123437500004</v>
      </c>
      <c r="AE9" t="s">
        <v>664</v>
      </c>
      <c r="AJ9" s="6" t="str">
        <v>August</v>
      </c>
      <c r="AK9" s="10">
        <f t="shared" si="9"/>
        <v>23937.720999999998</v>
      </c>
      <c r="AL9" s="6">
        <f t="shared" si="10"/>
        <v>52</v>
      </c>
      <c r="AQ9" s="16">
        <f>INDEX(_xlfn.ANCHORARRAY(AQ2),MATCH(MAX(AR2:AR6),AR2:AR6,0))</f>
        <v>0</v>
      </c>
    </row>
    <row r="10" spans="1:46" x14ac:dyDescent="0.2">
      <c r="A10" t="s">
        <v>49</v>
      </c>
      <c r="B10" s="2">
        <v>46029</v>
      </c>
      <c r="C10" s="2" t="str">
        <f t="shared" si="0"/>
        <v>January</v>
      </c>
      <c r="D10" t="s">
        <v>50</v>
      </c>
      <c r="E10" t="s">
        <v>51</v>
      </c>
      <c r="F10" t="s">
        <v>42</v>
      </c>
      <c r="G10" t="s">
        <v>43</v>
      </c>
      <c r="H10">
        <v>3</v>
      </c>
      <c r="I10" s="3">
        <v>263.72000000000003</v>
      </c>
      <c r="J10" s="4">
        <v>0</v>
      </c>
      <c r="K10" t="s">
        <v>44</v>
      </c>
      <c r="L10" t="s">
        <v>52</v>
      </c>
      <c r="M10">
        <f t="shared" si="1"/>
        <v>791.16000000000008</v>
      </c>
      <c r="S10" s="6" t="str">
        <v>Desk</v>
      </c>
      <c r="T10" s="27">
        <f t="shared" si="13"/>
        <v>28232.572500000002</v>
      </c>
      <c r="U10" s="10">
        <f t="shared" si="14"/>
        <v>106</v>
      </c>
      <c r="V10" s="10">
        <f t="shared" si="15"/>
        <v>281.60564102564098</v>
      </c>
      <c r="AE10" t="str">
        <f>INDEX(_xlfn.ANCHORARRAY(AE2),MATCH(MAX(AF2:AF6),AF2:AF6,0))</f>
        <v>West</v>
      </c>
      <c r="AQ10" t="s">
        <v>671</v>
      </c>
    </row>
    <row r="11" spans="1:46" x14ac:dyDescent="0.2">
      <c r="A11" t="s">
        <v>53</v>
      </c>
      <c r="B11" s="2">
        <v>46030</v>
      </c>
      <c r="C11" s="2" t="str">
        <f t="shared" si="0"/>
        <v>January</v>
      </c>
      <c r="D11" t="s">
        <v>54</v>
      </c>
      <c r="E11" t="s">
        <v>41</v>
      </c>
      <c r="F11" t="s">
        <v>38</v>
      </c>
      <c r="G11" t="s">
        <v>15</v>
      </c>
      <c r="H11">
        <v>2</v>
      </c>
      <c r="I11" s="3">
        <v>31.59</v>
      </c>
      <c r="J11" s="4">
        <v>0.05</v>
      </c>
      <c r="K11" t="s">
        <v>55</v>
      </c>
      <c r="L11" t="s">
        <v>56</v>
      </c>
      <c r="M11">
        <f t="shared" si="1"/>
        <v>60.020999999999994</v>
      </c>
      <c r="S11" s="6" t="str">
        <v>Headphones</v>
      </c>
      <c r="T11" s="27">
        <f t="shared" si="13"/>
        <v>13165.806</v>
      </c>
      <c r="U11" s="10">
        <f t="shared" si="14"/>
        <v>154</v>
      </c>
      <c r="V11" s="10">
        <f t="shared" si="15"/>
        <v>90.461020408163236</v>
      </c>
      <c r="Y11" t="s">
        <v>679</v>
      </c>
      <c r="Z11" s="11">
        <f>MAX(Z2:Z9)</f>
        <v>62234.936999999998</v>
      </c>
      <c r="AA11" t="s">
        <v>28</v>
      </c>
      <c r="AB11" s="14" t="str">
        <f>INDEX(_xlfn.ANCHORARRAY(Y2),MATCH(MAX(Z2:Z9),Z2:Z9,0))</f>
        <v>Lan</v>
      </c>
      <c r="AC11" s="14"/>
      <c r="AE11" t="s">
        <v>665</v>
      </c>
      <c r="AJ11" t="s">
        <v>687</v>
      </c>
      <c r="AQ11" s="16">
        <f>INDEX(_xlfn.ANCHORARRAY(AQ2),MATCH(MAX(AT2:AT6),AT2:AT6,0))</f>
        <v>0</v>
      </c>
    </row>
    <row r="12" spans="1:46" x14ac:dyDescent="0.2">
      <c r="A12" t="s">
        <v>57</v>
      </c>
      <c r="B12" s="2">
        <v>46030</v>
      </c>
      <c r="C12" s="2" t="str">
        <f t="shared" si="0"/>
        <v>January</v>
      </c>
      <c r="D12" t="s">
        <v>58</v>
      </c>
      <c r="E12" t="s">
        <v>59</v>
      </c>
      <c r="F12" t="s">
        <v>48</v>
      </c>
      <c r="G12" t="s">
        <v>15</v>
      </c>
      <c r="H12">
        <v>5</v>
      </c>
      <c r="I12" s="3">
        <v>90.68</v>
      </c>
      <c r="J12" s="4">
        <v>0.05</v>
      </c>
      <c r="K12" t="s">
        <v>27</v>
      </c>
      <c r="L12" t="s">
        <v>17</v>
      </c>
      <c r="M12">
        <f t="shared" si="1"/>
        <v>430.73</v>
      </c>
      <c r="S12" s="6" t="str">
        <v>Laptop</v>
      </c>
      <c r="T12" s="27">
        <f t="shared" si="13"/>
        <v>186011.51800000001</v>
      </c>
      <c r="U12" s="10">
        <f t="shared" si="14"/>
        <v>163</v>
      </c>
      <c r="V12" s="10">
        <f t="shared" si="15"/>
        <v>1186.5931372549014</v>
      </c>
      <c r="Y12" t="s">
        <v>680</v>
      </c>
      <c r="Z12" s="11">
        <f>MAX(AB2:AB9)</f>
        <v>71</v>
      </c>
      <c r="AA12" t="s">
        <v>70</v>
      </c>
      <c r="AB12" t="str">
        <f>INDEX(_xlfn.ANCHORARRAY(Y2),MATCH(MAX(AB2:AB9),AB2:AB9,0))</f>
        <v>Minh</v>
      </c>
      <c r="AE12" t="str">
        <f>INDEX(_xlfn.ANCHORARRAY(AE2),MATCH(MAX(AH2:AH6),AH2:AH6,0))</f>
        <v>North</v>
      </c>
      <c r="AJ12" t="str">
        <f>INDEX(_xlfn.ANCHORARRAY(AJ2),MATCH(MAX(AK2:AK9),AK2:AK9,0))</f>
        <v>January</v>
      </c>
      <c r="AQ12" t="s">
        <v>662</v>
      </c>
    </row>
    <row r="13" spans="1:46" x14ac:dyDescent="0.2">
      <c r="A13" t="s">
        <v>60</v>
      </c>
      <c r="B13" s="2">
        <v>46031</v>
      </c>
      <c r="C13" s="2" t="str">
        <f t="shared" si="0"/>
        <v>January</v>
      </c>
      <c r="D13" t="s">
        <v>61</v>
      </c>
      <c r="E13" t="s">
        <v>62</v>
      </c>
      <c r="F13" t="s">
        <v>63</v>
      </c>
      <c r="G13" t="s">
        <v>22</v>
      </c>
      <c r="H13">
        <v>2</v>
      </c>
      <c r="I13" s="3">
        <v>1126.75</v>
      </c>
      <c r="J13" s="4">
        <v>0.05</v>
      </c>
      <c r="K13" t="s">
        <v>44</v>
      </c>
      <c r="L13" t="s">
        <v>64</v>
      </c>
      <c r="M13">
        <f t="shared" si="1"/>
        <v>2140.8249999999998</v>
      </c>
      <c r="S13" s="6" t="str">
        <v>Printer</v>
      </c>
      <c r="T13" s="27">
        <f t="shared" si="13"/>
        <v>21974.684499999999</v>
      </c>
      <c r="U13" s="10">
        <f t="shared" si="14"/>
        <v>106</v>
      </c>
      <c r="V13" s="10">
        <f t="shared" si="15"/>
        <v>218.38263157894738</v>
      </c>
      <c r="Y13" t="s">
        <v>681</v>
      </c>
      <c r="Z13" s="11">
        <f>MAX(AA2:AA9)</f>
        <v>235</v>
      </c>
      <c r="AA13" t="s">
        <v>70</v>
      </c>
      <c r="AB13" t="str">
        <f>INDEX(_xlfn.ANCHORARRAY(Y2),MATCH(MAX(AA2:AA9),AA2:AA9,0))</f>
        <v>Minh</v>
      </c>
      <c r="AE13" t="s">
        <v>666</v>
      </c>
      <c r="AJ13" t="s">
        <v>668</v>
      </c>
      <c r="AQ13" s="16" t="s">
        <v>672</v>
      </c>
    </row>
    <row r="14" spans="1:46" x14ac:dyDescent="0.2">
      <c r="A14" t="s">
        <v>65</v>
      </c>
      <c r="B14" s="2">
        <v>46031</v>
      </c>
      <c r="C14" s="2" t="str">
        <f t="shared" si="0"/>
        <v>January</v>
      </c>
      <c r="D14" t="s">
        <v>66</v>
      </c>
      <c r="E14" t="s">
        <v>67</v>
      </c>
      <c r="F14" t="s">
        <v>42</v>
      </c>
      <c r="G14" t="s">
        <v>43</v>
      </c>
      <c r="H14">
        <v>3</v>
      </c>
      <c r="I14" s="3">
        <v>265.20999999999998</v>
      </c>
      <c r="J14" s="4">
        <v>0.1</v>
      </c>
      <c r="K14" t="s">
        <v>16</v>
      </c>
      <c r="L14" t="s">
        <v>64</v>
      </c>
      <c r="M14">
        <f t="shared" si="1"/>
        <v>716.06699999999989</v>
      </c>
      <c r="S14" s="6" t="str">
        <v>Monitor</v>
      </c>
      <c r="T14" s="27">
        <f t="shared" si="13"/>
        <v>48511.205999999976</v>
      </c>
      <c r="U14" s="10">
        <f t="shared" si="14"/>
        <v>149</v>
      </c>
      <c r="V14" s="10">
        <f t="shared" si="15"/>
        <v>350.60634615384606</v>
      </c>
      <c r="AE14" t="str">
        <f>INDEX(_xlfn.ANCHORARRAY(AE2),MATCH(MAX(AG2:AG6),AG2:AG6,0))</f>
        <v>North</v>
      </c>
      <c r="AJ14" t="str">
        <f>INDEX(_xlfn.ANCHORARRAY(AJ2),MATCH(MAX(AL2:AL9),AL2:AL9,0))</f>
        <v>February</v>
      </c>
    </row>
    <row r="15" spans="1:46" x14ac:dyDescent="0.2">
      <c r="A15" t="s">
        <v>68</v>
      </c>
      <c r="B15" s="2">
        <v>46032</v>
      </c>
      <c r="C15" s="2" t="str">
        <f t="shared" si="0"/>
        <v>January</v>
      </c>
      <c r="D15" t="s">
        <v>69</v>
      </c>
      <c r="E15" t="s">
        <v>59</v>
      </c>
      <c r="F15" t="s">
        <v>14</v>
      </c>
      <c r="G15" t="s">
        <v>15</v>
      </c>
      <c r="H15">
        <v>10</v>
      </c>
      <c r="I15" s="3">
        <v>55.58</v>
      </c>
      <c r="J15" s="4">
        <v>0.15</v>
      </c>
      <c r="K15" t="s">
        <v>27</v>
      </c>
      <c r="L15" t="s">
        <v>70</v>
      </c>
      <c r="M15">
        <f t="shared" si="1"/>
        <v>472.42999999999995</v>
      </c>
      <c r="S15" s="6" t="str">
        <v>Tablet</v>
      </c>
      <c r="T15" s="27">
        <f t="shared" si="13"/>
        <v>42930.143000000004</v>
      </c>
      <c r="U15" s="10">
        <f t="shared" si="14"/>
        <v>92</v>
      </c>
      <c r="V15" s="10">
        <f t="shared" si="15"/>
        <v>493.44176470588235</v>
      </c>
      <c r="Y15" t="s">
        <v>677</v>
      </c>
      <c r="AJ15" t="s">
        <v>669</v>
      </c>
    </row>
    <row r="16" spans="1:46" x14ac:dyDescent="0.2">
      <c r="A16" t="s">
        <v>71</v>
      </c>
      <c r="B16" s="2">
        <v>46032</v>
      </c>
      <c r="C16" s="2" t="str">
        <f t="shared" si="0"/>
        <v>January</v>
      </c>
      <c r="D16" t="s">
        <v>72</v>
      </c>
      <c r="E16" t="s">
        <v>67</v>
      </c>
      <c r="F16" t="s">
        <v>73</v>
      </c>
      <c r="G16" t="s">
        <v>43</v>
      </c>
      <c r="H16">
        <v>2</v>
      </c>
      <c r="I16" s="3">
        <v>210.66</v>
      </c>
      <c r="J16" s="4">
        <v>0</v>
      </c>
      <c r="K16" t="s">
        <v>23</v>
      </c>
      <c r="L16" t="s">
        <v>74</v>
      </c>
      <c r="M16">
        <f t="shared" si="1"/>
        <v>421.32</v>
      </c>
      <c r="S16" s="6" t="str">
        <v>Chair</v>
      </c>
      <c r="T16" s="27">
        <f t="shared" si="13"/>
        <v>17664.018</v>
      </c>
      <c r="U16" s="10">
        <f t="shared" si="14"/>
        <v>106</v>
      </c>
      <c r="V16" s="10">
        <f t="shared" si="15"/>
        <v>179.82179487179488</v>
      </c>
      <c r="Y16" t="str">
        <f>INDEX(_xlfn.ANCHORARRAY(Y2),MATCH(MAX(AC2:AC9),AC2:AC9,0))</f>
        <v>Lan</v>
      </c>
    </row>
    <row r="17" spans="1:25" x14ac:dyDescent="0.2">
      <c r="A17" t="s">
        <v>75</v>
      </c>
      <c r="B17" s="2">
        <v>46033</v>
      </c>
      <c r="C17" s="2" t="str">
        <f t="shared" si="0"/>
        <v>January</v>
      </c>
      <c r="D17" t="s">
        <v>76</v>
      </c>
      <c r="E17" t="s">
        <v>31</v>
      </c>
      <c r="F17" t="s">
        <v>77</v>
      </c>
      <c r="G17" t="s">
        <v>22</v>
      </c>
      <c r="H17">
        <v>2</v>
      </c>
      <c r="I17" s="3">
        <v>333.55</v>
      </c>
      <c r="J17" s="4">
        <v>0</v>
      </c>
      <c r="K17" t="s">
        <v>16</v>
      </c>
      <c r="L17" t="s">
        <v>74</v>
      </c>
      <c r="M17">
        <f t="shared" si="1"/>
        <v>667.1</v>
      </c>
      <c r="Y17" t="s">
        <v>678</v>
      </c>
    </row>
    <row r="18" spans="1:25" x14ac:dyDescent="0.2">
      <c r="A18" t="s">
        <v>78</v>
      </c>
      <c r="B18" s="2">
        <v>46033</v>
      </c>
      <c r="C18" s="2" t="str">
        <f t="shared" si="0"/>
        <v>January</v>
      </c>
      <c r="D18" t="s">
        <v>79</v>
      </c>
      <c r="E18" t="s">
        <v>80</v>
      </c>
      <c r="F18" t="s">
        <v>63</v>
      </c>
      <c r="G18" t="s">
        <v>22</v>
      </c>
      <c r="H18">
        <v>4</v>
      </c>
      <c r="I18" s="3">
        <v>1115.17</v>
      </c>
      <c r="J18" s="4">
        <v>0.05</v>
      </c>
      <c r="K18" t="s">
        <v>27</v>
      </c>
      <c r="L18" t="s">
        <v>70</v>
      </c>
      <c r="M18">
        <f t="shared" si="1"/>
        <v>4237.6459999999997</v>
      </c>
      <c r="S18" t="s">
        <v>660</v>
      </c>
      <c r="T18" s="11">
        <f>MAX(T7:T16)</f>
        <v>186011.51800000001</v>
      </c>
      <c r="U18" t="s">
        <v>63</v>
      </c>
      <c r="Y18" t="str">
        <f>INDEX(_xlfn.ANCHORARRAY(Y2),MATCH(MIN(AC2:AC9),AC2:AC9,0))</f>
        <v>Trang</v>
      </c>
    </row>
    <row r="19" spans="1:25" x14ac:dyDescent="0.2">
      <c r="A19" t="s">
        <v>81</v>
      </c>
      <c r="B19" s="2">
        <v>46034</v>
      </c>
      <c r="C19" s="2" t="str">
        <f t="shared" si="0"/>
        <v>January</v>
      </c>
      <c r="D19" t="s">
        <v>82</v>
      </c>
      <c r="E19" t="s">
        <v>13</v>
      </c>
      <c r="F19" t="s">
        <v>63</v>
      </c>
      <c r="G19" t="s">
        <v>22</v>
      </c>
      <c r="H19">
        <v>1</v>
      </c>
      <c r="I19" s="3">
        <v>1105.01</v>
      </c>
      <c r="J19" s="4">
        <v>0.15</v>
      </c>
      <c r="K19" t="s">
        <v>55</v>
      </c>
      <c r="L19" t="s">
        <v>32</v>
      </c>
      <c r="M19">
        <f t="shared" si="1"/>
        <v>939.25849999999991</v>
      </c>
      <c r="S19" t="s">
        <v>661</v>
      </c>
      <c r="T19" s="11">
        <f>MAX(U7:U16)</f>
        <v>253</v>
      </c>
      <c r="U19" t="s">
        <v>14</v>
      </c>
      <c r="Y19" t="s">
        <v>682</v>
      </c>
    </row>
    <row r="20" spans="1:25" x14ac:dyDescent="0.2">
      <c r="A20" t="s">
        <v>83</v>
      </c>
      <c r="B20" s="2">
        <v>46034</v>
      </c>
      <c r="C20" s="2" t="str">
        <f t="shared" si="0"/>
        <v>January</v>
      </c>
      <c r="D20" t="s">
        <v>84</v>
      </c>
      <c r="E20" t="s">
        <v>51</v>
      </c>
      <c r="F20" t="s">
        <v>85</v>
      </c>
      <c r="G20" t="s">
        <v>22</v>
      </c>
      <c r="H20">
        <v>3</v>
      </c>
      <c r="I20" s="3">
        <v>530.34</v>
      </c>
      <c r="J20" s="4">
        <v>0</v>
      </c>
      <c r="K20" t="s">
        <v>16</v>
      </c>
      <c r="L20" t="s">
        <v>74</v>
      </c>
      <c r="M20">
        <f t="shared" si="1"/>
        <v>1591.02</v>
      </c>
      <c r="S20" t="s">
        <v>662</v>
      </c>
      <c r="T20" s="11">
        <f>MAX(V7:V16)</f>
        <v>1186.5931372549014</v>
      </c>
      <c r="U20" t="s">
        <v>63</v>
      </c>
      <c r="Y20" t="s">
        <v>683</v>
      </c>
    </row>
    <row r="21" spans="1:25" x14ac:dyDescent="0.2">
      <c r="A21" t="s">
        <v>86</v>
      </c>
      <c r="B21" s="2">
        <v>46034</v>
      </c>
      <c r="C21" s="2" t="str">
        <f t="shared" si="0"/>
        <v>January</v>
      </c>
      <c r="D21" t="s">
        <v>87</v>
      </c>
      <c r="E21" t="s">
        <v>62</v>
      </c>
      <c r="F21" t="s">
        <v>21</v>
      </c>
      <c r="G21" t="s">
        <v>22</v>
      </c>
      <c r="H21">
        <v>2</v>
      </c>
      <c r="I21" s="3">
        <v>80.569999999999993</v>
      </c>
      <c r="J21" s="4">
        <v>0.1</v>
      </c>
      <c r="K21" t="s">
        <v>55</v>
      </c>
      <c r="L21" t="s">
        <v>52</v>
      </c>
      <c r="M21">
        <f t="shared" si="1"/>
        <v>145.02599999999998</v>
      </c>
      <c r="Y21" t="s">
        <v>684</v>
      </c>
    </row>
    <row r="22" spans="1:25" x14ac:dyDescent="0.2">
      <c r="A22" t="s">
        <v>88</v>
      </c>
      <c r="B22" s="2">
        <v>46034</v>
      </c>
      <c r="C22" s="2" t="str">
        <f t="shared" si="0"/>
        <v>January</v>
      </c>
      <c r="D22" t="s">
        <v>89</v>
      </c>
      <c r="E22" t="s">
        <v>90</v>
      </c>
      <c r="F22" t="s">
        <v>38</v>
      </c>
      <c r="G22" t="s">
        <v>15</v>
      </c>
      <c r="H22">
        <v>3</v>
      </c>
      <c r="I22" s="3">
        <v>31.84</v>
      </c>
      <c r="J22" s="4">
        <v>0</v>
      </c>
      <c r="K22" t="s">
        <v>27</v>
      </c>
      <c r="L22" t="s">
        <v>70</v>
      </c>
      <c r="M22">
        <f t="shared" si="1"/>
        <v>95.52</v>
      </c>
    </row>
    <row r="23" spans="1:25" x14ac:dyDescent="0.2">
      <c r="A23" t="s">
        <v>91</v>
      </c>
      <c r="B23" s="2">
        <v>46034</v>
      </c>
      <c r="C23" s="2" t="str">
        <f t="shared" si="0"/>
        <v>January</v>
      </c>
      <c r="D23" t="s">
        <v>92</v>
      </c>
      <c r="E23" t="s">
        <v>93</v>
      </c>
      <c r="F23" t="s">
        <v>77</v>
      </c>
      <c r="G23" t="s">
        <v>22</v>
      </c>
      <c r="H23">
        <v>4</v>
      </c>
      <c r="I23" s="3">
        <v>371.12</v>
      </c>
      <c r="J23" s="4">
        <v>0</v>
      </c>
      <c r="K23" t="s">
        <v>44</v>
      </c>
      <c r="L23" t="s">
        <v>32</v>
      </c>
      <c r="M23">
        <f t="shared" si="1"/>
        <v>1484.48</v>
      </c>
      <c r="O23" s="1" t="s">
        <v>2</v>
      </c>
      <c r="P23" s="7" t="s">
        <v>656</v>
      </c>
      <c r="Q23" s="13" t="s">
        <v>663</v>
      </c>
      <c r="R23" s="7" t="s">
        <v>657</v>
      </c>
    </row>
    <row r="24" spans="1:25" x14ac:dyDescent="0.2">
      <c r="A24" t="s">
        <v>94</v>
      </c>
      <c r="B24" s="2">
        <v>46035</v>
      </c>
      <c r="C24" s="2" t="str">
        <f t="shared" si="0"/>
        <v>January</v>
      </c>
      <c r="D24" t="s">
        <v>95</v>
      </c>
      <c r="E24" t="s">
        <v>47</v>
      </c>
      <c r="F24" t="s">
        <v>48</v>
      </c>
      <c r="G24" t="s">
        <v>15</v>
      </c>
      <c r="H24">
        <v>3</v>
      </c>
      <c r="I24" s="3">
        <v>93.26</v>
      </c>
      <c r="J24" s="4">
        <v>0.05</v>
      </c>
      <c r="K24" t="s">
        <v>27</v>
      </c>
      <c r="L24" t="s">
        <v>17</v>
      </c>
      <c r="M24">
        <f t="shared" si="1"/>
        <v>265.791</v>
      </c>
      <c r="O24" s="6" t="str" cm="1">
        <f t="array" ref="O24:O122">_xlfn._xlws.SORT(_xlfn.UNIQUE(D2:D501))</f>
        <v>C001</v>
      </c>
      <c r="P24" s="6">
        <f>SUMIF($D$2:$D$501,O24,$M$2:$M$501)</f>
        <v>25.738</v>
      </c>
      <c r="Q24" s="6">
        <f>COUNTIF($D$2:$D$501,O24)</f>
        <v>1</v>
      </c>
      <c r="R24" s="6">
        <f>SUMIF($D$2:$D$501,O24,Table4[Quantity])</f>
        <v>1</v>
      </c>
    </row>
    <row r="25" spans="1:25" x14ac:dyDescent="0.2">
      <c r="A25" t="s">
        <v>96</v>
      </c>
      <c r="B25" s="2">
        <v>46035</v>
      </c>
      <c r="C25" s="2" t="str">
        <f t="shared" si="0"/>
        <v>January</v>
      </c>
      <c r="D25" t="s">
        <v>97</v>
      </c>
      <c r="E25" t="s">
        <v>13</v>
      </c>
      <c r="F25" t="s">
        <v>73</v>
      </c>
      <c r="G25" t="s">
        <v>43</v>
      </c>
      <c r="H25">
        <v>2</v>
      </c>
      <c r="I25" s="3">
        <v>237.37</v>
      </c>
      <c r="J25" s="4">
        <v>0.1</v>
      </c>
      <c r="K25" t="s">
        <v>16</v>
      </c>
      <c r="L25" t="s">
        <v>70</v>
      </c>
      <c r="M25">
        <f t="shared" si="1"/>
        <v>427.26600000000002</v>
      </c>
      <c r="O25" s="6" t="str">
        <v>C002</v>
      </c>
      <c r="P25" s="6">
        <f>SUMIF($D$2:$D$501,O25,$M$2:$M$501)</f>
        <v>4192.2045000000007</v>
      </c>
      <c r="Q25" s="6">
        <f>COUNTIF($D$2:$D$501,O25)</f>
        <v>4</v>
      </c>
      <c r="R25" s="6">
        <f>SUMIF($D$2:$D$501,O25,Table4[Quantity])</f>
        <v>10</v>
      </c>
    </row>
    <row r="26" spans="1:25" x14ac:dyDescent="0.2">
      <c r="A26" t="s">
        <v>98</v>
      </c>
      <c r="B26" s="2">
        <v>46035</v>
      </c>
      <c r="C26" s="2" t="str">
        <f t="shared" si="0"/>
        <v>January</v>
      </c>
      <c r="D26" t="s">
        <v>99</v>
      </c>
      <c r="E26" t="s">
        <v>35</v>
      </c>
      <c r="F26" t="s">
        <v>63</v>
      </c>
      <c r="G26" t="s">
        <v>22</v>
      </c>
      <c r="H26">
        <v>2</v>
      </c>
      <c r="I26" s="3">
        <v>1162.3699999999999</v>
      </c>
      <c r="J26" s="4">
        <v>0.05</v>
      </c>
      <c r="K26" t="s">
        <v>44</v>
      </c>
      <c r="L26" t="s">
        <v>32</v>
      </c>
      <c r="M26">
        <f t="shared" si="1"/>
        <v>2208.5029999999997</v>
      </c>
      <c r="O26" s="6" t="str">
        <v>C003</v>
      </c>
      <c r="P26" s="6">
        <f>SUMIF($D$2:$D$501,O26,$M$2:$M$501)</f>
        <v>525.51400000000001</v>
      </c>
      <c r="Q26" s="6">
        <f>COUNTIF($D$2:$D$501,O26)</f>
        <v>4</v>
      </c>
      <c r="R26" s="6">
        <f>SUMIF($D$2:$D$501,O26,Table4[Quantity])</f>
        <v>6</v>
      </c>
      <c r="T26" t="s">
        <v>673</v>
      </c>
    </row>
    <row r="27" spans="1:25" x14ac:dyDescent="0.2">
      <c r="A27" t="s">
        <v>100</v>
      </c>
      <c r="B27" s="2">
        <v>46036</v>
      </c>
      <c r="C27" s="2" t="str">
        <f t="shared" si="0"/>
        <v>January</v>
      </c>
      <c r="D27" t="s">
        <v>101</v>
      </c>
      <c r="E27" t="s">
        <v>35</v>
      </c>
      <c r="F27" t="s">
        <v>63</v>
      </c>
      <c r="G27" t="s">
        <v>22</v>
      </c>
      <c r="H27">
        <v>2</v>
      </c>
      <c r="I27" s="3">
        <v>1181.76</v>
      </c>
      <c r="J27" s="4">
        <v>0</v>
      </c>
      <c r="K27" t="s">
        <v>23</v>
      </c>
      <c r="L27" t="s">
        <v>70</v>
      </c>
      <c r="M27">
        <f t="shared" si="1"/>
        <v>2363.52</v>
      </c>
      <c r="O27" s="6" t="str">
        <v>C004</v>
      </c>
      <c r="P27" s="6">
        <f>SUMIF($D$2:$D$501,O27,$M$2:$M$501)</f>
        <v>1883.29</v>
      </c>
      <c r="Q27" s="6">
        <f>COUNTIF($D$2:$D$501,O27)</f>
        <v>3</v>
      </c>
      <c r="R27" s="6">
        <f>SUMIF($D$2:$D$501,O27,Table4[Quantity])</f>
        <v>15</v>
      </c>
      <c r="T27" t="str">
        <f>INDEX(_xlfn.ANCHORARRAY(O24),MATCH(MAX(P24:P122),P24:P122,0))</f>
        <v>C096</v>
      </c>
    </row>
    <row r="28" spans="1:25" x14ac:dyDescent="0.2">
      <c r="A28" t="s">
        <v>102</v>
      </c>
      <c r="B28" s="2">
        <v>46036</v>
      </c>
      <c r="C28" s="2" t="str">
        <f t="shared" si="0"/>
        <v>January</v>
      </c>
      <c r="D28" t="s">
        <v>103</v>
      </c>
      <c r="E28" t="s">
        <v>80</v>
      </c>
      <c r="F28" t="s">
        <v>63</v>
      </c>
      <c r="G28" t="s">
        <v>22</v>
      </c>
      <c r="H28">
        <v>5</v>
      </c>
      <c r="I28" s="3">
        <v>1239.1099999999999</v>
      </c>
      <c r="J28" s="4">
        <v>0</v>
      </c>
      <c r="K28" t="s">
        <v>55</v>
      </c>
      <c r="L28" t="s">
        <v>17</v>
      </c>
      <c r="M28">
        <f t="shared" si="1"/>
        <v>6195.5499999999993</v>
      </c>
      <c r="O28" s="6" t="str">
        <v>C005</v>
      </c>
      <c r="P28" s="6">
        <f>SUMIF($D$2:$D$501,O28,$M$2:$M$501)</f>
        <v>1286.192</v>
      </c>
      <c r="Q28" s="6">
        <f>COUNTIF($D$2:$D$501,O28)</f>
        <v>4</v>
      </c>
      <c r="R28" s="6">
        <f>SUMIF($D$2:$D$501,O28,Table4[Quantity])</f>
        <v>12</v>
      </c>
      <c r="T28" t="s">
        <v>674</v>
      </c>
      <c r="V28" s="9"/>
    </row>
    <row r="29" spans="1:25" x14ac:dyDescent="0.2">
      <c r="A29" t="s">
        <v>104</v>
      </c>
      <c r="B29" s="2">
        <v>46037</v>
      </c>
      <c r="C29" s="2" t="str">
        <f t="shared" si="0"/>
        <v>January</v>
      </c>
      <c r="D29" t="s">
        <v>105</v>
      </c>
      <c r="E29" t="s">
        <v>41</v>
      </c>
      <c r="F29" t="s">
        <v>48</v>
      </c>
      <c r="G29" t="s">
        <v>15</v>
      </c>
      <c r="H29">
        <v>4</v>
      </c>
      <c r="I29" s="3">
        <v>90.33</v>
      </c>
      <c r="J29" s="4">
        <v>0.05</v>
      </c>
      <c r="K29" t="s">
        <v>55</v>
      </c>
      <c r="L29" t="s">
        <v>74</v>
      </c>
      <c r="M29">
        <f t="shared" si="1"/>
        <v>343.25399999999996</v>
      </c>
      <c r="O29" s="6" t="str">
        <v>C006</v>
      </c>
      <c r="P29" s="6">
        <f>SUMIF($D$2:$D$501,O29,$M$2:$M$501)</f>
        <v>3819.8160000000003</v>
      </c>
      <c r="Q29" s="6">
        <f>COUNTIF($D$2:$D$501,O29)</f>
        <v>5</v>
      </c>
      <c r="R29" s="6">
        <f>SUMIF($D$2:$D$501,O29,Table4[Quantity])</f>
        <v>15</v>
      </c>
      <c r="T29" t="str">
        <f>INDEX(_xlfn.ANCHORARRAY(O24),MATCH(MAX(Q24:Q122),Q24:Q122,0))</f>
        <v>C082</v>
      </c>
    </row>
    <row r="30" spans="1:25" x14ac:dyDescent="0.2">
      <c r="A30" t="s">
        <v>106</v>
      </c>
      <c r="B30" s="2">
        <v>46037</v>
      </c>
      <c r="C30" s="2" t="str">
        <f t="shared" si="0"/>
        <v>January</v>
      </c>
      <c r="D30" t="s">
        <v>107</v>
      </c>
      <c r="E30" t="s">
        <v>93</v>
      </c>
      <c r="F30" t="s">
        <v>85</v>
      </c>
      <c r="G30" t="s">
        <v>22</v>
      </c>
      <c r="H30">
        <v>3</v>
      </c>
      <c r="I30" s="3">
        <v>471.14</v>
      </c>
      <c r="J30" s="4">
        <v>0</v>
      </c>
      <c r="K30" t="s">
        <v>55</v>
      </c>
      <c r="L30" t="s">
        <v>28</v>
      </c>
      <c r="M30">
        <f t="shared" si="1"/>
        <v>1413.42</v>
      </c>
      <c r="O30" s="6" t="str">
        <v>C007</v>
      </c>
      <c r="P30" s="6">
        <f>SUMIF($D$2:$D$501,O30,$M$2:$M$501)</f>
        <v>1676.3095000000001</v>
      </c>
      <c r="Q30" s="6">
        <f>COUNTIF($D$2:$D$501,O30)</f>
        <v>6</v>
      </c>
      <c r="R30" s="6">
        <f>SUMIF($D$2:$D$501,O30,Table4[Quantity])</f>
        <v>13</v>
      </c>
      <c r="T30" t="s">
        <v>675</v>
      </c>
    </row>
    <row r="31" spans="1:25" x14ac:dyDescent="0.2">
      <c r="A31" t="s">
        <v>108</v>
      </c>
      <c r="B31" s="2">
        <v>46037</v>
      </c>
      <c r="C31" s="2" t="str">
        <f t="shared" si="0"/>
        <v>January</v>
      </c>
      <c r="D31" t="s">
        <v>109</v>
      </c>
      <c r="E31" t="s">
        <v>35</v>
      </c>
      <c r="F31" t="s">
        <v>48</v>
      </c>
      <c r="G31" t="s">
        <v>15</v>
      </c>
      <c r="H31">
        <v>8</v>
      </c>
      <c r="I31" s="3">
        <v>88.28</v>
      </c>
      <c r="J31" s="4">
        <v>0.05</v>
      </c>
      <c r="K31" t="s">
        <v>23</v>
      </c>
      <c r="L31" t="s">
        <v>56</v>
      </c>
      <c r="M31">
        <f t="shared" si="1"/>
        <v>670.928</v>
      </c>
      <c r="O31" s="6" t="str">
        <v>C008</v>
      </c>
      <c r="P31" s="6">
        <f>SUMIF($D$2:$D$501,O31,$M$2:$M$501)</f>
        <v>9062.3424999999988</v>
      </c>
      <c r="Q31" s="6">
        <f>COUNTIF($D$2:$D$501,O31)</f>
        <v>8</v>
      </c>
      <c r="R31" s="6">
        <f>SUMIF($D$2:$D$501,O31,Table4[Quantity])</f>
        <v>25</v>
      </c>
      <c r="T31" t="str">
        <f>INDEX(_xlfn.ANCHORARRAY(O24),MATCH(MAX(R24:R122),R24:R122,0))</f>
        <v>C096</v>
      </c>
    </row>
    <row r="32" spans="1:25" x14ac:dyDescent="0.2">
      <c r="A32" t="s">
        <v>110</v>
      </c>
      <c r="B32" s="2">
        <v>46038</v>
      </c>
      <c r="C32" s="2" t="str">
        <f t="shared" si="0"/>
        <v>January</v>
      </c>
      <c r="D32" t="s">
        <v>111</v>
      </c>
      <c r="E32" t="s">
        <v>62</v>
      </c>
      <c r="F32" t="s">
        <v>85</v>
      </c>
      <c r="G32" t="s">
        <v>22</v>
      </c>
      <c r="H32">
        <v>1</v>
      </c>
      <c r="I32" s="3">
        <v>501.81</v>
      </c>
      <c r="J32" s="4">
        <v>0.15</v>
      </c>
      <c r="K32" t="s">
        <v>27</v>
      </c>
      <c r="L32" t="s">
        <v>70</v>
      </c>
      <c r="M32">
        <f t="shared" si="1"/>
        <v>426.5385</v>
      </c>
      <c r="O32" s="6" t="str">
        <v>C009</v>
      </c>
      <c r="P32" s="6">
        <f>SUMIF($D$2:$D$501,O32,$M$2:$M$501)</f>
        <v>273.43350000000004</v>
      </c>
      <c r="Q32" s="6">
        <f>COUNTIF($D$2:$D$501,O32)</f>
        <v>3</v>
      </c>
      <c r="R32" s="6">
        <f>SUMIF($D$2:$D$501,O32,Table4[Quantity])</f>
        <v>4</v>
      </c>
    </row>
    <row r="33" spans="1:20" x14ac:dyDescent="0.2">
      <c r="A33" t="s">
        <v>112</v>
      </c>
      <c r="B33" s="2">
        <v>46038</v>
      </c>
      <c r="C33" s="2" t="str">
        <f t="shared" si="0"/>
        <v>January</v>
      </c>
      <c r="D33" t="s">
        <v>113</v>
      </c>
      <c r="E33" t="s">
        <v>26</v>
      </c>
      <c r="F33" t="s">
        <v>114</v>
      </c>
      <c r="G33" t="s">
        <v>43</v>
      </c>
      <c r="H33">
        <v>2</v>
      </c>
      <c r="I33" s="3">
        <v>176.31</v>
      </c>
      <c r="J33" s="4">
        <v>0</v>
      </c>
      <c r="K33" t="s">
        <v>16</v>
      </c>
      <c r="L33" t="s">
        <v>52</v>
      </c>
      <c r="M33">
        <f t="shared" si="1"/>
        <v>352.62</v>
      </c>
      <c r="O33" s="6" t="str">
        <v>C010</v>
      </c>
      <c r="P33" s="6">
        <f>SUMIF($D$2:$D$501,O33,$M$2:$M$501)</f>
        <v>3444.239</v>
      </c>
      <c r="Q33" s="6">
        <f>COUNTIF($D$2:$D$501,O33)</f>
        <v>5</v>
      </c>
      <c r="R33" s="6">
        <f>SUMIF($D$2:$D$501,O33,Table4[Quantity])</f>
        <v>12</v>
      </c>
    </row>
    <row r="34" spans="1:20" x14ac:dyDescent="0.2">
      <c r="A34" t="s">
        <v>115</v>
      </c>
      <c r="B34" s="2">
        <v>46039</v>
      </c>
      <c r="C34" s="2" t="str">
        <f t="shared" si="0"/>
        <v>January</v>
      </c>
      <c r="D34" t="s">
        <v>116</v>
      </c>
      <c r="E34" t="s">
        <v>67</v>
      </c>
      <c r="F34" t="s">
        <v>21</v>
      </c>
      <c r="G34" t="s">
        <v>22</v>
      </c>
      <c r="H34">
        <v>4</v>
      </c>
      <c r="I34" s="3">
        <v>77.489999999999995</v>
      </c>
      <c r="J34" s="4">
        <v>0</v>
      </c>
      <c r="K34" t="s">
        <v>23</v>
      </c>
      <c r="L34" t="s">
        <v>56</v>
      </c>
      <c r="M34">
        <f t="shared" si="1"/>
        <v>309.95999999999998</v>
      </c>
      <c r="O34" s="6" t="str">
        <v>C011</v>
      </c>
      <c r="P34" s="6">
        <f>SUMIF($D$2:$D$501,O34,$M$2:$M$501)</f>
        <v>1616.586</v>
      </c>
      <c r="Q34" s="6">
        <f>COUNTIF($D$2:$D$501,O34)</f>
        <v>3</v>
      </c>
      <c r="R34" s="6">
        <f>SUMIF($D$2:$D$501,O34,Table4[Quantity])</f>
        <v>14</v>
      </c>
      <c r="T34" t="s">
        <v>685</v>
      </c>
    </row>
    <row r="35" spans="1:20" x14ac:dyDescent="0.2">
      <c r="A35" t="s">
        <v>117</v>
      </c>
      <c r="B35" s="2">
        <v>46042</v>
      </c>
      <c r="C35" s="2" t="str">
        <f t="shared" si="0"/>
        <v>January</v>
      </c>
      <c r="D35" t="s">
        <v>118</v>
      </c>
      <c r="E35" t="s">
        <v>119</v>
      </c>
      <c r="F35" t="s">
        <v>14</v>
      </c>
      <c r="G35" t="s">
        <v>15</v>
      </c>
      <c r="H35">
        <v>8</v>
      </c>
      <c r="I35" s="3">
        <v>57.12</v>
      </c>
      <c r="J35" s="4">
        <v>0.1</v>
      </c>
      <c r="K35" t="s">
        <v>27</v>
      </c>
      <c r="L35" t="s">
        <v>64</v>
      </c>
      <c r="M35">
        <f t="shared" si="1"/>
        <v>411.26400000000001</v>
      </c>
      <c r="O35" s="6" t="str">
        <v>C012</v>
      </c>
      <c r="P35" s="6">
        <f>SUMIF($D$2:$D$501,O35,$M$2:$M$501)</f>
        <v>3099.6979999999994</v>
      </c>
      <c r="Q35" s="6">
        <f>COUNTIF($D$2:$D$501,O35)</f>
        <v>7</v>
      </c>
      <c r="R35" s="6">
        <f>SUMIF($D$2:$D$501,O35,Table4[Quantity])</f>
        <v>22</v>
      </c>
      <c r="T35" t="s">
        <v>686</v>
      </c>
    </row>
    <row r="36" spans="1:20" x14ac:dyDescent="0.2">
      <c r="A36" t="s">
        <v>120</v>
      </c>
      <c r="B36" s="2">
        <v>46042</v>
      </c>
      <c r="C36" s="2" t="str">
        <f t="shared" si="0"/>
        <v>January</v>
      </c>
      <c r="D36" t="s">
        <v>121</v>
      </c>
      <c r="E36" t="s">
        <v>41</v>
      </c>
      <c r="F36" t="s">
        <v>38</v>
      </c>
      <c r="G36" t="s">
        <v>15</v>
      </c>
      <c r="H36">
        <v>1</v>
      </c>
      <c r="I36" s="3">
        <v>29.26</v>
      </c>
      <c r="J36" s="4">
        <v>0.05</v>
      </c>
      <c r="K36" t="s">
        <v>27</v>
      </c>
      <c r="L36" t="s">
        <v>64</v>
      </c>
      <c r="M36">
        <f t="shared" si="1"/>
        <v>27.797000000000001</v>
      </c>
      <c r="O36" s="6" t="str">
        <v>C013</v>
      </c>
      <c r="P36" s="6">
        <f>SUMIF($D$2:$D$501,O36,$M$2:$M$501)</f>
        <v>5378.6060000000007</v>
      </c>
      <c r="Q36" s="6">
        <f>COUNTIF($D$2:$D$501,O36)</f>
        <v>8</v>
      </c>
      <c r="R36" s="6">
        <f>SUMIF($D$2:$D$501,O36,Table4[Quantity])</f>
        <v>24</v>
      </c>
      <c r="T36" t="s">
        <v>688</v>
      </c>
    </row>
    <row r="37" spans="1:20" x14ac:dyDescent="0.2">
      <c r="A37" t="s">
        <v>122</v>
      </c>
      <c r="B37" s="2">
        <v>46043</v>
      </c>
      <c r="C37" s="2" t="str">
        <f t="shared" si="0"/>
        <v>January</v>
      </c>
      <c r="D37" t="s">
        <v>12</v>
      </c>
      <c r="E37" t="s">
        <v>93</v>
      </c>
      <c r="F37" t="s">
        <v>14</v>
      </c>
      <c r="G37" t="s">
        <v>15</v>
      </c>
      <c r="H37">
        <v>2</v>
      </c>
      <c r="I37" s="3">
        <v>59.67</v>
      </c>
      <c r="J37" s="4">
        <v>0</v>
      </c>
      <c r="K37" t="s">
        <v>44</v>
      </c>
      <c r="L37" t="s">
        <v>64</v>
      </c>
      <c r="M37">
        <f t="shared" si="1"/>
        <v>119.34</v>
      </c>
      <c r="O37" s="6" t="str">
        <v>C014</v>
      </c>
      <c r="P37" s="6">
        <f>SUMIF($D$2:$D$501,O37,$M$2:$M$501)</f>
        <v>2078.556</v>
      </c>
      <c r="Q37" s="6">
        <f>COUNTIF($D$2:$D$501,O37)</f>
        <v>3</v>
      </c>
      <c r="R37" s="6">
        <f>SUMIF($D$2:$D$501,O37,Table4[Quantity])</f>
        <v>9</v>
      </c>
    </row>
    <row r="38" spans="1:20" x14ac:dyDescent="0.2">
      <c r="A38" t="s">
        <v>123</v>
      </c>
      <c r="B38" s="2">
        <v>46043</v>
      </c>
      <c r="C38" s="2" t="str">
        <f t="shared" si="0"/>
        <v>January</v>
      </c>
      <c r="D38" t="s">
        <v>124</v>
      </c>
      <c r="E38" t="s">
        <v>80</v>
      </c>
      <c r="F38" t="s">
        <v>38</v>
      </c>
      <c r="G38" t="s">
        <v>15</v>
      </c>
      <c r="H38">
        <v>2</v>
      </c>
      <c r="I38" s="3">
        <v>29.81</v>
      </c>
      <c r="J38" s="4">
        <v>0</v>
      </c>
      <c r="K38" t="s">
        <v>27</v>
      </c>
      <c r="L38" t="s">
        <v>56</v>
      </c>
      <c r="M38">
        <f t="shared" si="1"/>
        <v>59.62</v>
      </c>
      <c r="O38" s="6" t="str">
        <v>C015</v>
      </c>
      <c r="P38" s="6">
        <f>SUMIF($D$2:$D$501,O38,$M$2:$M$501)</f>
        <v>1688.182</v>
      </c>
      <c r="Q38" s="6">
        <f>COUNTIF($D$2:$D$501,O38)</f>
        <v>8</v>
      </c>
      <c r="R38" s="6">
        <f>SUMIF($D$2:$D$501,O38,Table4[Quantity])</f>
        <v>20</v>
      </c>
    </row>
    <row r="39" spans="1:20" x14ac:dyDescent="0.2">
      <c r="A39" t="s">
        <v>125</v>
      </c>
      <c r="B39" s="2">
        <v>46043</v>
      </c>
      <c r="C39" s="2" t="str">
        <f t="shared" si="0"/>
        <v>January</v>
      </c>
      <c r="D39" t="s">
        <v>126</v>
      </c>
      <c r="E39" t="s">
        <v>51</v>
      </c>
      <c r="F39" t="s">
        <v>21</v>
      </c>
      <c r="G39" t="s">
        <v>22</v>
      </c>
      <c r="H39">
        <v>1</v>
      </c>
      <c r="I39" s="3">
        <v>75.739999999999995</v>
      </c>
      <c r="J39" s="4">
        <v>0.05</v>
      </c>
      <c r="K39" t="s">
        <v>27</v>
      </c>
      <c r="L39" t="s">
        <v>32</v>
      </c>
      <c r="M39">
        <f t="shared" si="1"/>
        <v>71.952999999999989</v>
      </c>
      <c r="O39" s="6" t="str">
        <v>C016</v>
      </c>
      <c r="P39" s="6">
        <f>SUMIF($D$2:$D$501,O39,$M$2:$M$501)</f>
        <v>755.77399999999989</v>
      </c>
      <c r="Q39" s="6">
        <f>COUNTIF($D$2:$D$501,O39)</f>
        <v>2</v>
      </c>
      <c r="R39" s="6">
        <f>SUMIF($D$2:$D$501,O39,Table4[Quantity])</f>
        <v>12</v>
      </c>
    </row>
    <row r="40" spans="1:20" x14ac:dyDescent="0.2">
      <c r="A40" t="s">
        <v>127</v>
      </c>
      <c r="B40" s="2">
        <v>46043</v>
      </c>
      <c r="C40" s="2" t="str">
        <f t="shared" si="0"/>
        <v>January</v>
      </c>
      <c r="D40" t="s">
        <v>121</v>
      </c>
      <c r="E40" t="s">
        <v>13</v>
      </c>
      <c r="F40" t="s">
        <v>21</v>
      </c>
      <c r="G40" t="s">
        <v>22</v>
      </c>
      <c r="H40">
        <v>4</v>
      </c>
      <c r="I40" s="3">
        <v>74.930000000000007</v>
      </c>
      <c r="J40" s="4">
        <v>0.05</v>
      </c>
      <c r="K40" t="s">
        <v>44</v>
      </c>
      <c r="L40" t="s">
        <v>70</v>
      </c>
      <c r="M40">
        <f t="shared" si="1"/>
        <v>284.73400000000004</v>
      </c>
      <c r="O40" s="6" t="str">
        <v>C017</v>
      </c>
      <c r="P40" s="6">
        <f>SUMIF($D$2:$D$501,O40,$M$2:$M$501)</f>
        <v>2077.9414999999999</v>
      </c>
      <c r="Q40" s="6">
        <f>COUNTIF($D$2:$D$501,O40)</f>
        <v>3</v>
      </c>
      <c r="R40" s="6">
        <f>SUMIF($D$2:$D$501,O40,Table4[Quantity])</f>
        <v>7</v>
      </c>
    </row>
    <row r="41" spans="1:20" x14ac:dyDescent="0.2">
      <c r="A41" t="s">
        <v>128</v>
      </c>
      <c r="B41" s="2">
        <v>46044</v>
      </c>
      <c r="C41" s="2" t="str">
        <f t="shared" si="0"/>
        <v>January</v>
      </c>
      <c r="D41" t="s">
        <v>129</v>
      </c>
      <c r="E41" t="s">
        <v>67</v>
      </c>
      <c r="F41" t="s">
        <v>38</v>
      </c>
      <c r="G41" t="s">
        <v>15</v>
      </c>
      <c r="H41">
        <v>10</v>
      </c>
      <c r="I41" s="3">
        <v>28.66</v>
      </c>
      <c r="J41" s="4">
        <v>0</v>
      </c>
      <c r="K41" t="s">
        <v>16</v>
      </c>
      <c r="L41" t="s">
        <v>17</v>
      </c>
      <c r="M41">
        <f t="shared" si="1"/>
        <v>286.60000000000002</v>
      </c>
      <c r="O41" s="6" t="str">
        <v>C018</v>
      </c>
      <c r="P41" s="6">
        <f>SUMIF($D$2:$D$501,O41,$M$2:$M$501)</f>
        <v>138.62</v>
      </c>
      <c r="Q41" s="6">
        <f>COUNTIF($D$2:$D$501,O41)</f>
        <v>1</v>
      </c>
      <c r="R41" s="6">
        <f>SUMIF($D$2:$D$501,O41,Table4[Quantity])</f>
        <v>2</v>
      </c>
      <c r="T41" t="s">
        <v>689</v>
      </c>
    </row>
    <row r="42" spans="1:20" x14ac:dyDescent="0.2">
      <c r="A42" t="s">
        <v>130</v>
      </c>
      <c r="B42" s="2">
        <v>46044</v>
      </c>
      <c r="C42" s="2" t="str">
        <f t="shared" si="0"/>
        <v>January</v>
      </c>
      <c r="D42" t="s">
        <v>37</v>
      </c>
      <c r="E42" t="s">
        <v>13</v>
      </c>
      <c r="F42" t="s">
        <v>114</v>
      </c>
      <c r="G42" t="s">
        <v>43</v>
      </c>
      <c r="H42">
        <v>3</v>
      </c>
      <c r="I42" s="3">
        <v>174.72</v>
      </c>
      <c r="J42" s="4">
        <v>0.05</v>
      </c>
      <c r="K42" t="s">
        <v>44</v>
      </c>
      <c r="L42" t="s">
        <v>64</v>
      </c>
      <c r="M42">
        <f t="shared" si="1"/>
        <v>497.95199999999994</v>
      </c>
      <c r="O42" s="6" t="str">
        <v>C019</v>
      </c>
      <c r="P42" s="6">
        <f>SUMIF($D$2:$D$501,O42,$M$2:$M$501)</f>
        <v>6648.1244999999999</v>
      </c>
      <c r="Q42" s="6">
        <f>COUNTIF($D$2:$D$501,O42)</f>
        <v>9</v>
      </c>
      <c r="R42" s="6">
        <f>SUMIF($D$2:$D$501,O42,Table4[Quantity])</f>
        <v>23</v>
      </c>
      <c r="T42" t="s">
        <v>690</v>
      </c>
    </row>
    <row r="43" spans="1:20" x14ac:dyDescent="0.2">
      <c r="A43" t="s">
        <v>131</v>
      </c>
      <c r="B43" s="2">
        <v>46045</v>
      </c>
      <c r="C43" s="2" t="str">
        <f t="shared" si="0"/>
        <v>January</v>
      </c>
      <c r="D43" t="s">
        <v>129</v>
      </c>
      <c r="E43" t="s">
        <v>13</v>
      </c>
      <c r="F43" t="s">
        <v>38</v>
      </c>
      <c r="G43" t="s">
        <v>15</v>
      </c>
      <c r="H43">
        <v>3</v>
      </c>
      <c r="I43" s="3">
        <v>27.62</v>
      </c>
      <c r="J43" s="4">
        <v>0.1</v>
      </c>
      <c r="K43" t="s">
        <v>44</v>
      </c>
      <c r="L43" t="s">
        <v>74</v>
      </c>
      <c r="M43">
        <f t="shared" si="1"/>
        <v>74.573999999999998</v>
      </c>
      <c r="O43" s="6" t="str">
        <v>C020</v>
      </c>
      <c r="P43" s="6">
        <f>SUMIF($D$2:$D$501,O43,$M$2:$M$501)</f>
        <v>1834.1530000000002</v>
      </c>
      <c r="Q43" s="6">
        <f>COUNTIF($D$2:$D$501,O43)</f>
        <v>4</v>
      </c>
      <c r="R43" s="6">
        <f>SUMIF($D$2:$D$501,O43,Table4[Quantity])</f>
        <v>10</v>
      </c>
      <c r="T43" s="9" t="s">
        <v>691</v>
      </c>
    </row>
    <row r="44" spans="1:20" x14ac:dyDescent="0.2">
      <c r="A44" t="s">
        <v>132</v>
      </c>
      <c r="B44" s="2">
        <v>46045</v>
      </c>
      <c r="C44" s="2" t="str">
        <f t="shared" si="0"/>
        <v>January</v>
      </c>
      <c r="D44" t="s">
        <v>133</v>
      </c>
      <c r="E44" t="s">
        <v>13</v>
      </c>
      <c r="F44" t="s">
        <v>14</v>
      </c>
      <c r="G44" t="s">
        <v>15</v>
      </c>
      <c r="H44">
        <v>2</v>
      </c>
      <c r="I44" s="3">
        <v>60.14</v>
      </c>
      <c r="J44" s="4">
        <v>0</v>
      </c>
      <c r="K44" t="s">
        <v>16</v>
      </c>
      <c r="L44" t="s">
        <v>70</v>
      </c>
      <c r="M44">
        <f t="shared" si="1"/>
        <v>120.28</v>
      </c>
      <c r="O44" s="6" t="str">
        <v>C021</v>
      </c>
      <c r="P44" s="6">
        <f>SUMIF($D$2:$D$501,O44,$M$2:$M$501)</f>
        <v>6287.3704999999991</v>
      </c>
      <c r="Q44" s="6">
        <f>COUNTIF($D$2:$D$501,O44)</f>
        <v>5</v>
      </c>
      <c r="R44" s="6">
        <f>SUMIF($D$2:$D$501,O44,Table4[Quantity])</f>
        <v>18</v>
      </c>
      <c r="T44" t="s">
        <v>692</v>
      </c>
    </row>
    <row r="45" spans="1:20" x14ac:dyDescent="0.2">
      <c r="A45" t="s">
        <v>134</v>
      </c>
      <c r="B45" s="2">
        <v>46046</v>
      </c>
      <c r="C45" s="2" t="str">
        <f t="shared" si="0"/>
        <v>January</v>
      </c>
      <c r="D45" t="s">
        <v>135</v>
      </c>
      <c r="E45" t="s">
        <v>31</v>
      </c>
      <c r="F45" t="s">
        <v>85</v>
      </c>
      <c r="G45" t="s">
        <v>22</v>
      </c>
      <c r="H45">
        <v>5</v>
      </c>
      <c r="I45" s="3">
        <v>503.18</v>
      </c>
      <c r="J45" s="4">
        <v>0.1</v>
      </c>
      <c r="K45" t="s">
        <v>55</v>
      </c>
      <c r="L45" t="s">
        <v>52</v>
      </c>
      <c r="M45">
        <f t="shared" si="1"/>
        <v>2264.31</v>
      </c>
      <c r="O45" s="6" t="str">
        <v>C022</v>
      </c>
      <c r="P45" s="6">
        <f>SUMIF($D$2:$D$501,O45,$M$2:$M$501)</f>
        <v>1477.002</v>
      </c>
      <c r="Q45" s="6">
        <f>COUNTIF($D$2:$D$501,O45)</f>
        <v>4</v>
      </c>
      <c r="R45" s="6">
        <f>SUMIF($D$2:$D$501,O45,Table4[Quantity])</f>
        <v>11</v>
      </c>
      <c r="T45" s="9" t="s">
        <v>693</v>
      </c>
    </row>
    <row r="46" spans="1:20" x14ac:dyDescent="0.2">
      <c r="A46" t="s">
        <v>136</v>
      </c>
      <c r="B46" s="2">
        <v>46046</v>
      </c>
      <c r="C46" s="2" t="str">
        <f t="shared" si="0"/>
        <v>January</v>
      </c>
      <c r="D46" t="s">
        <v>137</v>
      </c>
      <c r="E46" t="s">
        <v>62</v>
      </c>
      <c r="F46" t="s">
        <v>63</v>
      </c>
      <c r="G46" t="s">
        <v>22</v>
      </c>
      <c r="H46">
        <v>8</v>
      </c>
      <c r="I46" s="3">
        <v>1182.6099999999999</v>
      </c>
      <c r="J46" s="4">
        <v>0.05</v>
      </c>
      <c r="K46" t="s">
        <v>16</v>
      </c>
      <c r="L46" t="s">
        <v>52</v>
      </c>
      <c r="M46">
        <f t="shared" si="1"/>
        <v>8987.8359999999993</v>
      </c>
      <c r="O46" s="6" t="str">
        <v>C023</v>
      </c>
      <c r="P46" s="6">
        <f>SUMIF($D$2:$D$501,O46,$M$2:$M$501)</f>
        <v>607.44399999999996</v>
      </c>
      <c r="Q46" s="6">
        <f>COUNTIF($D$2:$D$501,O46)</f>
        <v>2</v>
      </c>
      <c r="R46" s="6">
        <f>SUMIF($D$2:$D$501,O46,Table4[Quantity])</f>
        <v>12</v>
      </c>
    </row>
    <row r="47" spans="1:20" x14ac:dyDescent="0.2">
      <c r="A47" t="s">
        <v>138</v>
      </c>
      <c r="B47" s="2">
        <v>46047</v>
      </c>
      <c r="C47" s="2" t="str">
        <f t="shared" si="0"/>
        <v>January</v>
      </c>
      <c r="D47" t="s">
        <v>25</v>
      </c>
      <c r="E47" t="s">
        <v>41</v>
      </c>
      <c r="F47" t="s">
        <v>77</v>
      </c>
      <c r="G47" t="s">
        <v>22</v>
      </c>
      <c r="H47">
        <v>1</v>
      </c>
      <c r="I47" s="3">
        <v>354.32</v>
      </c>
      <c r="J47" s="4">
        <v>0</v>
      </c>
      <c r="K47" t="s">
        <v>23</v>
      </c>
      <c r="L47" t="s">
        <v>17</v>
      </c>
      <c r="M47">
        <f t="shared" si="1"/>
        <v>354.32</v>
      </c>
      <c r="O47" s="6" t="str">
        <v>C024</v>
      </c>
      <c r="P47" s="6">
        <f>SUMIF($D$2:$D$501,O47,$M$2:$M$501)</f>
        <v>87.03</v>
      </c>
      <c r="Q47" s="6">
        <f>COUNTIF($D$2:$D$501,O47)</f>
        <v>1</v>
      </c>
      <c r="R47" s="6">
        <f>SUMIF($D$2:$D$501,O47,Table4[Quantity])</f>
        <v>3</v>
      </c>
    </row>
    <row r="48" spans="1:20" x14ac:dyDescent="0.2">
      <c r="A48" t="s">
        <v>139</v>
      </c>
      <c r="B48" s="2">
        <v>46047</v>
      </c>
      <c r="C48" s="2" t="str">
        <f t="shared" si="0"/>
        <v>January</v>
      </c>
      <c r="D48" t="s">
        <v>140</v>
      </c>
      <c r="E48" t="s">
        <v>31</v>
      </c>
      <c r="F48" t="s">
        <v>77</v>
      </c>
      <c r="G48" t="s">
        <v>22</v>
      </c>
      <c r="H48">
        <v>1</v>
      </c>
      <c r="I48" s="3">
        <v>359.86</v>
      </c>
      <c r="J48" s="4">
        <v>0</v>
      </c>
      <c r="K48" t="s">
        <v>16</v>
      </c>
      <c r="L48" t="s">
        <v>52</v>
      </c>
      <c r="M48">
        <f t="shared" si="1"/>
        <v>359.86</v>
      </c>
      <c r="O48" s="6" t="str">
        <v>C025</v>
      </c>
      <c r="P48" s="6">
        <f>SUMIF($D$2:$D$501,O48,$M$2:$M$501)</f>
        <v>5396.3744999999999</v>
      </c>
      <c r="Q48" s="6">
        <f>COUNTIF($D$2:$D$501,O48)</f>
        <v>8</v>
      </c>
      <c r="R48" s="6">
        <f>SUMIF($D$2:$D$501,O48,Table4[Quantity])</f>
        <v>27</v>
      </c>
    </row>
    <row r="49" spans="1:18" x14ac:dyDescent="0.2">
      <c r="A49" t="s">
        <v>141</v>
      </c>
      <c r="B49" s="2">
        <v>46049</v>
      </c>
      <c r="C49" s="2" t="str">
        <f t="shared" si="0"/>
        <v>January</v>
      </c>
      <c r="D49" t="s">
        <v>111</v>
      </c>
      <c r="E49" t="s">
        <v>13</v>
      </c>
      <c r="F49" t="s">
        <v>21</v>
      </c>
      <c r="G49" t="s">
        <v>22</v>
      </c>
      <c r="H49">
        <v>2</v>
      </c>
      <c r="I49" s="3">
        <v>73.760000000000005</v>
      </c>
      <c r="J49" s="4">
        <v>0</v>
      </c>
      <c r="K49" t="s">
        <v>16</v>
      </c>
      <c r="L49" t="s">
        <v>74</v>
      </c>
      <c r="M49">
        <f t="shared" si="1"/>
        <v>147.52000000000001</v>
      </c>
      <c r="O49" s="6" t="str">
        <v>C026</v>
      </c>
      <c r="P49" s="6">
        <f>SUMIF($D$2:$D$501,O49,$M$2:$M$501)</f>
        <v>10436.631000000001</v>
      </c>
      <c r="Q49" s="6">
        <f>COUNTIF($D$2:$D$501,O49)</f>
        <v>4</v>
      </c>
      <c r="R49" s="6">
        <f>SUMIF($D$2:$D$501,O49,Table4[Quantity])</f>
        <v>15</v>
      </c>
    </row>
    <row r="50" spans="1:18" x14ac:dyDescent="0.2">
      <c r="A50" t="s">
        <v>142</v>
      </c>
      <c r="B50" s="2">
        <v>46049</v>
      </c>
      <c r="C50" s="2" t="str">
        <f t="shared" si="0"/>
        <v>January</v>
      </c>
      <c r="D50" t="s">
        <v>143</v>
      </c>
      <c r="E50" t="s">
        <v>35</v>
      </c>
      <c r="F50" t="s">
        <v>63</v>
      </c>
      <c r="G50" t="s">
        <v>22</v>
      </c>
      <c r="H50">
        <v>3</v>
      </c>
      <c r="I50" s="3">
        <v>1241.51</v>
      </c>
      <c r="J50" s="4">
        <v>0.05</v>
      </c>
      <c r="K50" t="s">
        <v>44</v>
      </c>
      <c r="L50" t="s">
        <v>28</v>
      </c>
      <c r="M50">
        <f t="shared" si="1"/>
        <v>3538.3034999999995</v>
      </c>
      <c r="O50" s="6" t="str">
        <v>C027</v>
      </c>
      <c r="P50" s="6">
        <f>SUMIF($D$2:$D$501,O50,$M$2:$M$501)</f>
        <v>11124.325999999999</v>
      </c>
      <c r="Q50" s="6">
        <f>COUNTIF($D$2:$D$501,O50)</f>
        <v>6</v>
      </c>
      <c r="R50" s="6">
        <f>SUMIF($D$2:$D$501,O50,Table4[Quantity])</f>
        <v>27</v>
      </c>
    </row>
    <row r="51" spans="1:18" x14ac:dyDescent="0.2">
      <c r="A51" t="s">
        <v>144</v>
      </c>
      <c r="B51" s="2">
        <v>46049</v>
      </c>
      <c r="C51" s="2" t="str">
        <f t="shared" si="0"/>
        <v>January</v>
      </c>
      <c r="D51" t="s">
        <v>145</v>
      </c>
      <c r="E51" t="s">
        <v>59</v>
      </c>
      <c r="F51" t="s">
        <v>14</v>
      </c>
      <c r="G51" t="s">
        <v>15</v>
      </c>
      <c r="H51">
        <v>5</v>
      </c>
      <c r="I51" s="3">
        <v>59.09</v>
      </c>
      <c r="J51" s="4">
        <v>0.15</v>
      </c>
      <c r="K51" t="s">
        <v>16</v>
      </c>
      <c r="L51" t="s">
        <v>70</v>
      </c>
      <c r="M51">
        <f t="shared" si="1"/>
        <v>251.13250000000002</v>
      </c>
      <c r="O51" s="6" t="str">
        <v>C028</v>
      </c>
      <c r="P51" s="6">
        <f>SUMIF($D$2:$D$501,O51,$M$2:$M$501)</f>
        <v>1957.9399999999998</v>
      </c>
      <c r="Q51" s="6">
        <f>COUNTIF($D$2:$D$501,O51)</f>
        <v>4</v>
      </c>
      <c r="R51" s="6">
        <f>SUMIF($D$2:$D$501,O51,Table4[Quantity])</f>
        <v>13</v>
      </c>
    </row>
    <row r="52" spans="1:18" x14ac:dyDescent="0.2">
      <c r="A52" t="s">
        <v>146</v>
      </c>
      <c r="B52" s="2">
        <v>46050</v>
      </c>
      <c r="C52" s="2" t="str">
        <f t="shared" si="0"/>
        <v>January</v>
      </c>
      <c r="D52" t="s">
        <v>147</v>
      </c>
      <c r="E52" t="s">
        <v>119</v>
      </c>
      <c r="F52" t="s">
        <v>63</v>
      </c>
      <c r="G52" t="s">
        <v>22</v>
      </c>
      <c r="H52">
        <v>8</v>
      </c>
      <c r="I52" s="3">
        <v>1172.1400000000001</v>
      </c>
      <c r="J52" s="4">
        <v>0.1</v>
      </c>
      <c r="K52" t="s">
        <v>55</v>
      </c>
      <c r="L52" t="s">
        <v>32</v>
      </c>
      <c r="M52">
        <f t="shared" si="1"/>
        <v>8439.4080000000013</v>
      </c>
      <c r="O52" s="6" t="str">
        <v>C029</v>
      </c>
      <c r="P52" s="6">
        <f>SUMIF($D$2:$D$501,O52,$M$2:$M$501)</f>
        <v>12544.707</v>
      </c>
      <c r="Q52" s="6">
        <f>COUNTIF($D$2:$D$501,O52)</f>
        <v>6</v>
      </c>
      <c r="R52" s="6">
        <f>SUMIF($D$2:$D$501,O52,Table4[Quantity])</f>
        <v>20</v>
      </c>
    </row>
    <row r="53" spans="1:18" x14ac:dyDescent="0.2">
      <c r="A53" t="s">
        <v>148</v>
      </c>
      <c r="B53" s="2">
        <v>46050</v>
      </c>
      <c r="C53" s="2" t="str">
        <f t="shared" si="0"/>
        <v>January</v>
      </c>
      <c r="D53" t="s">
        <v>149</v>
      </c>
      <c r="E53" t="s">
        <v>67</v>
      </c>
      <c r="F53" t="s">
        <v>48</v>
      </c>
      <c r="G53" t="s">
        <v>15</v>
      </c>
      <c r="H53">
        <v>2</v>
      </c>
      <c r="I53" s="3">
        <v>92.19</v>
      </c>
      <c r="J53" s="4">
        <v>0.1</v>
      </c>
      <c r="K53" t="s">
        <v>44</v>
      </c>
      <c r="L53" t="s">
        <v>64</v>
      </c>
      <c r="M53">
        <f t="shared" si="1"/>
        <v>165.94200000000001</v>
      </c>
      <c r="O53" s="6" t="str">
        <v>C030</v>
      </c>
      <c r="P53" s="6">
        <f>SUMIF($D$2:$D$501,O53,$M$2:$M$501)</f>
        <v>5439.2174999999997</v>
      </c>
      <c r="Q53" s="6">
        <f>COUNTIF($D$2:$D$501,O53)</f>
        <v>8</v>
      </c>
      <c r="R53" s="6">
        <f>SUMIF($D$2:$D$501,O53,Table4[Quantity])</f>
        <v>30</v>
      </c>
    </row>
    <row r="54" spans="1:18" x14ac:dyDescent="0.2">
      <c r="A54" t="s">
        <v>150</v>
      </c>
      <c r="B54" s="2">
        <v>46051</v>
      </c>
      <c r="C54" s="2" t="str">
        <f t="shared" si="0"/>
        <v>January</v>
      </c>
      <c r="D54" t="s">
        <v>151</v>
      </c>
      <c r="E54" t="s">
        <v>51</v>
      </c>
      <c r="F54" t="s">
        <v>42</v>
      </c>
      <c r="G54" t="s">
        <v>43</v>
      </c>
      <c r="H54">
        <v>5</v>
      </c>
      <c r="I54" s="3">
        <v>296.86</v>
      </c>
      <c r="J54" s="4">
        <v>0</v>
      </c>
      <c r="K54" t="s">
        <v>23</v>
      </c>
      <c r="L54" t="s">
        <v>56</v>
      </c>
      <c r="M54">
        <f t="shared" si="1"/>
        <v>1484.3000000000002</v>
      </c>
      <c r="O54" s="6" t="str">
        <v>C031</v>
      </c>
      <c r="P54" s="6">
        <f>SUMIF($D$2:$D$501,O54,$M$2:$M$501)</f>
        <v>2193.6065000000003</v>
      </c>
      <c r="Q54" s="6">
        <f>COUNTIF($D$2:$D$501,O54)</f>
        <v>2</v>
      </c>
      <c r="R54" s="6">
        <f>SUMIF($D$2:$D$501,O54,Table4[Quantity])</f>
        <v>9</v>
      </c>
    </row>
    <row r="55" spans="1:18" x14ac:dyDescent="0.2">
      <c r="A55" t="s">
        <v>152</v>
      </c>
      <c r="B55" s="2">
        <v>46051</v>
      </c>
      <c r="C55" s="2" t="str">
        <f t="shared" si="0"/>
        <v>January</v>
      </c>
      <c r="D55" t="s">
        <v>153</v>
      </c>
      <c r="E55" t="s">
        <v>26</v>
      </c>
      <c r="F55" t="s">
        <v>38</v>
      </c>
      <c r="G55" t="s">
        <v>15</v>
      </c>
      <c r="H55">
        <v>2</v>
      </c>
      <c r="I55" s="3">
        <v>30.22</v>
      </c>
      <c r="J55" s="4">
        <v>0.2</v>
      </c>
      <c r="K55" t="s">
        <v>55</v>
      </c>
      <c r="L55" t="s">
        <v>56</v>
      </c>
      <c r="M55">
        <f t="shared" si="1"/>
        <v>48.352000000000004</v>
      </c>
      <c r="O55" s="6" t="str">
        <v>C032</v>
      </c>
      <c r="P55" s="6">
        <f>SUMIF($D$2:$D$501,O55,$M$2:$M$501)</f>
        <v>1077.6175000000001</v>
      </c>
      <c r="Q55" s="6">
        <f>COUNTIF($D$2:$D$501,O55)</f>
        <v>5</v>
      </c>
      <c r="R55" s="6">
        <f>SUMIF($D$2:$D$501,O55,Table4[Quantity])</f>
        <v>7</v>
      </c>
    </row>
    <row r="56" spans="1:18" x14ac:dyDescent="0.2">
      <c r="A56" t="s">
        <v>154</v>
      </c>
      <c r="B56" s="2">
        <v>46052</v>
      </c>
      <c r="C56" s="2" t="str">
        <f t="shared" si="0"/>
        <v>January</v>
      </c>
      <c r="D56" t="s">
        <v>155</v>
      </c>
      <c r="E56" t="s">
        <v>26</v>
      </c>
      <c r="F56" t="s">
        <v>77</v>
      </c>
      <c r="G56" t="s">
        <v>22</v>
      </c>
      <c r="H56">
        <v>1</v>
      </c>
      <c r="I56" s="3">
        <v>355.04</v>
      </c>
      <c r="J56" s="4">
        <v>0</v>
      </c>
      <c r="K56" t="s">
        <v>44</v>
      </c>
      <c r="L56" t="s">
        <v>70</v>
      </c>
      <c r="M56">
        <f t="shared" si="1"/>
        <v>355.04</v>
      </c>
      <c r="O56" s="6" t="str">
        <v>C033</v>
      </c>
      <c r="P56" s="6">
        <f>SUMIF($D$2:$D$501,O56,$M$2:$M$501)</f>
        <v>6247.6075000000001</v>
      </c>
      <c r="Q56" s="6">
        <f>COUNTIF($D$2:$D$501,O56)</f>
        <v>9</v>
      </c>
      <c r="R56" s="6">
        <f>SUMIF($D$2:$D$501,O56,Table4[Quantity])</f>
        <v>26</v>
      </c>
    </row>
    <row r="57" spans="1:18" x14ac:dyDescent="0.2">
      <c r="A57" t="s">
        <v>156</v>
      </c>
      <c r="B57" s="2">
        <v>46052</v>
      </c>
      <c r="C57" s="2" t="str">
        <f t="shared" si="0"/>
        <v>January</v>
      </c>
      <c r="D57" t="s">
        <v>157</v>
      </c>
      <c r="E57" t="s">
        <v>93</v>
      </c>
      <c r="F57" t="s">
        <v>42</v>
      </c>
      <c r="G57" t="s">
        <v>43</v>
      </c>
      <c r="H57">
        <v>3</v>
      </c>
      <c r="I57" s="3">
        <v>298.39</v>
      </c>
      <c r="J57" s="4">
        <v>0.05</v>
      </c>
      <c r="K57" t="s">
        <v>16</v>
      </c>
      <c r="L57" t="s">
        <v>74</v>
      </c>
      <c r="M57">
        <f t="shared" si="1"/>
        <v>850.41149999999993</v>
      </c>
      <c r="O57" s="6" t="str">
        <v>C034</v>
      </c>
      <c r="P57" s="6">
        <f>SUMIF($D$2:$D$501,O57,$M$2:$M$501)</f>
        <v>9477.9689999999991</v>
      </c>
      <c r="Q57" s="6">
        <f>COUNTIF($D$2:$D$501,O57)</f>
        <v>7</v>
      </c>
      <c r="R57" s="6">
        <f>SUMIF($D$2:$D$501,O57,Table4[Quantity])</f>
        <v>20</v>
      </c>
    </row>
    <row r="58" spans="1:18" x14ac:dyDescent="0.2">
      <c r="A58" t="s">
        <v>158</v>
      </c>
      <c r="B58" s="2">
        <v>46052</v>
      </c>
      <c r="C58" s="2" t="str">
        <f t="shared" si="0"/>
        <v>January</v>
      </c>
      <c r="D58" t="s">
        <v>105</v>
      </c>
      <c r="E58" t="s">
        <v>13</v>
      </c>
      <c r="F58" t="s">
        <v>14</v>
      </c>
      <c r="G58" t="s">
        <v>15</v>
      </c>
      <c r="H58">
        <v>1</v>
      </c>
      <c r="I58" s="3">
        <v>63.65</v>
      </c>
      <c r="J58" s="4">
        <v>0.1</v>
      </c>
      <c r="K58" t="s">
        <v>55</v>
      </c>
      <c r="L58" t="s">
        <v>17</v>
      </c>
      <c r="M58">
        <f t="shared" si="1"/>
        <v>57.284999999999997</v>
      </c>
      <c r="O58" s="6" t="str">
        <v>C035</v>
      </c>
      <c r="P58" s="6">
        <f>SUMIF($D$2:$D$501,O58,$M$2:$M$501)</f>
        <v>4661.3304999999991</v>
      </c>
      <c r="Q58" s="6">
        <f>COUNTIF($D$2:$D$501,O58)</f>
        <v>5</v>
      </c>
      <c r="R58" s="6">
        <f>SUMIF($D$2:$D$501,O58,Table4[Quantity])</f>
        <v>10</v>
      </c>
    </row>
    <row r="59" spans="1:18" x14ac:dyDescent="0.2">
      <c r="A59" t="s">
        <v>159</v>
      </c>
      <c r="B59" s="2">
        <v>46052</v>
      </c>
      <c r="C59" s="2" t="str">
        <f t="shared" si="0"/>
        <v>January</v>
      </c>
      <c r="D59" t="s">
        <v>151</v>
      </c>
      <c r="E59" t="s">
        <v>20</v>
      </c>
      <c r="F59" t="s">
        <v>38</v>
      </c>
      <c r="G59" t="s">
        <v>15</v>
      </c>
      <c r="H59">
        <v>1</v>
      </c>
      <c r="I59" s="3">
        <v>31.74</v>
      </c>
      <c r="J59" s="4">
        <v>0.05</v>
      </c>
      <c r="K59" t="s">
        <v>23</v>
      </c>
      <c r="L59" t="s">
        <v>17</v>
      </c>
      <c r="M59">
        <f t="shared" si="1"/>
        <v>30.152999999999999</v>
      </c>
      <c r="O59" s="6" t="str">
        <v>C036</v>
      </c>
      <c r="P59" s="6">
        <f>SUMIF($D$2:$D$501,O59,$M$2:$M$501)</f>
        <v>1320.097</v>
      </c>
      <c r="Q59" s="6">
        <f>COUNTIF($D$2:$D$501,O59)</f>
        <v>5</v>
      </c>
      <c r="R59" s="6">
        <f>SUMIF($D$2:$D$501,O59,Table4[Quantity])</f>
        <v>10</v>
      </c>
    </row>
    <row r="60" spans="1:18" x14ac:dyDescent="0.2">
      <c r="A60" t="s">
        <v>160</v>
      </c>
      <c r="B60" s="2">
        <v>46053</v>
      </c>
      <c r="C60" s="2" t="str">
        <f t="shared" si="0"/>
        <v>January</v>
      </c>
      <c r="D60" t="s">
        <v>34</v>
      </c>
      <c r="E60" t="s">
        <v>62</v>
      </c>
      <c r="F60" t="s">
        <v>114</v>
      </c>
      <c r="G60" t="s">
        <v>43</v>
      </c>
      <c r="H60">
        <v>1</v>
      </c>
      <c r="I60" s="3">
        <v>169.5</v>
      </c>
      <c r="J60" s="4">
        <v>0.05</v>
      </c>
      <c r="K60" t="s">
        <v>27</v>
      </c>
      <c r="L60" t="s">
        <v>52</v>
      </c>
      <c r="M60">
        <f t="shared" si="1"/>
        <v>161.02500000000001</v>
      </c>
      <c r="O60" s="6" t="str">
        <v>C037</v>
      </c>
      <c r="P60" s="6">
        <f>SUMIF($D$2:$D$501,O60,$M$2:$M$501)</f>
        <v>2531.2204999999999</v>
      </c>
      <c r="Q60" s="6">
        <f>COUNTIF($D$2:$D$501,O60)</f>
        <v>5</v>
      </c>
      <c r="R60" s="6">
        <f>SUMIF($D$2:$D$501,O60,Table4[Quantity])</f>
        <v>10</v>
      </c>
    </row>
    <row r="61" spans="1:18" x14ac:dyDescent="0.2">
      <c r="A61" t="s">
        <v>161</v>
      </c>
      <c r="B61" s="2">
        <v>46054</v>
      </c>
      <c r="C61" s="2" t="str">
        <f t="shared" si="0"/>
        <v>February</v>
      </c>
      <c r="D61" t="s">
        <v>157</v>
      </c>
      <c r="E61" t="s">
        <v>90</v>
      </c>
      <c r="F61" t="s">
        <v>73</v>
      </c>
      <c r="G61" t="s">
        <v>43</v>
      </c>
      <c r="H61">
        <v>8</v>
      </c>
      <c r="I61" s="3">
        <v>206.68</v>
      </c>
      <c r="J61" s="4">
        <v>0</v>
      </c>
      <c r="K61" t="s">
        <v>27</v>
      </c>
      <c r="L61" t="s">
        <v>17</v>
      </c>
      <c r="M61">
        <f t="shared" si="1"/>
        <v>1653.44</v>
      </c>
      <c r="O61" s="6" t="str">
        <v>C038</v>
      </c>
      <c r="P61" s="6">
        <f>SUMIF($D$2:$D$501,O61,$M$2:$M$501)</f>
        <v>1803.0199999999995</v>
      </c>
      <c r="Q61" s="6">
        <f>COUNTIF($D$2:$D$501,O61)</f>
        <v>6</v>
      </c>
      <c r="R61" s="6">
        <f>SUMIF($D$2:$D$501,O61,Table4[Quantity])</f>
        <v>18</v>
      </c>
    </row>
    <row r="62" spans="1:18" x14ac:dyDescent="0.2">
      <c r="A62" t="s">
        <v>162</v>
      </c>
      <c r="B62" s="2">
        <v>46055</v>
      </c>
      <c r="C62" s="2" t="str">
        <f t="shared" si="0"/>
        <v>February</v>
      </c>
      <c r="D62" t="s">
        <v>140</v>
      </c>
      <c r="E62" t="s">
        <v>13</v>
      </c>
      <c r="F62" t="s">
        <v>38</v>
      </c>
      <c r="G62" t="s">
        <v>15</v>
      </c>
      <c r="H62">
        <v>1</v>
      </c>
      <c r="I62" s="3">
        <v>29.87</v>
      </c>
      <c r="J62" s="4">
        <v>0.05</v>
      </c>
      <c r="K62" t="s">
        <v>23</v>
      </c>
      <c r="L62" t="s">
        <v>64</v>
      </c>
      <c r="M62">
        <f t="shared" si="1"/>
        <v>28.3765</v>
      </c>
      <c r="O62" s="6" t="str">
        <v>C039</v>
      </c>
      <c r="P62" s="6">
        <f>SUMIF($D$2:$D$501,O62,$M$2:$M$501)</f>
        <v>2656.5384999999997</v>
      </c>
      <c r="Q62" s="6">
        <f>COUNTIF($D$2:$D$501,O62)</f>
        <v>6</v>
      </c>
      <c r="R62" s="6">
        <f>SUMIF($D$2:$D$501,O62,Table4[Quantity])</f>
        <v>12</v>
      </c>
    </row>
    <row r="63" spans="1:18" x14ac:dyDescent="0.2">
      <c r="A63" t="s">
        <v>163</v>
      </c>
      <c r="B63" s="2">
        <v>46055</v>
      </c>
      <c r="C63" s="2" t="str">
        <f t="shared" si="0"/>
        <v>February</v>
      </c>
      <c r="D63" t="s">
        <v>164</v>
      </c>
      <c r="E63" t="s">
        <v>51</v>
      </c>
      <c r="F63" t="s">
        <v>63</v>
      </c>
      <c r="G63" t="s">
        <v>22</v>
      </c>
      <c r="H63">
        <v>5</v>
      </c>
      <c r="I63" s="3">
        <v>1135.6500000000001</v>
      </c>
      <c r="J63" s="4">
        <v>0.05</v>
      </c>
      <c r="K63" t="s">
        <v>27</v>
      </c>
      <c r="L63" t="s">
        <v>32</v>
      </c>
      <c r="M63">
        <f t="shared" si="1"/>
        <v>5394.3374999999996</v>
      </c>
      <c r="O63" s="6" t="str">
        <v>C041</v>
      </c>
      <c r="P63" s="6">
        <f>SUMIF($D$2:$D$501,O63,$M$2:$M$501)</f>
        <v>1256.8539999999998</v>
      </c>
      <c r="Q63" s="6">
        <f>COUNTIF($D$2:$D$501,O63)</f>
        <v>8</v>
      </c>
      <c r="R63" s="6">
        <f>SUMIF($D$2:$D$501,O63,Table4[Quantity])</f>
        <v>18</v>
      </c>
    </row>
    <row r="64" spans="1:18" x14ac:dyDescent="0.2">
      <c r="A64" t="s">
        <v>165</v>
      </c>
      <c r="B64" s="2">
        <v>46055</v>
      </c>
      <c r="C64" s="2" t="str">
        <f t="shared" si="0"/>
        <v>February</v>
      </c>
      <c r="D64" t="s">
        <v>50</v>
      </c>
      <c r="E64" t="s">
        <v>119</v>
      </c>
      <c r="F64" t="s">
        <v>38</v>
      </c>
      <c r="G64" t="s">
        <v>15</v>
      </c>
      <c r="H64">
        <v>3</v>
      </c>
      <c r="I64" s="3">
        <v>31.12</v>
      </c>
      <c r="J64" s="4">
        <v>0.15</v>
      </c>
      <c r="K64" t="s">
        <v>55</v>
      </c>
      <c r="L64" t="s">
        <v>32</v>
      </c>
      <c r="M64">
        <f t="shared" si="1"/>
        <v>79.355999999999995</v>
      </c>
      <c r="O64" s="6" t="str">
        <v>C042</v>
      </c>
      <c r="P64" s="6">
        <f>SUMIF($D$2:$D$501,O64,$M$2:$M$501)</f>
        <v>2305.3780000000002</v>
      </c>
      <c r="Q64" s="6">
        <f>COUNTIF($D$2:$D$501,O64)</f>
        <v>7</v>
      </c>
      <c r="R64" s="6">
        <f>SUMIF($D$2:$D$501,O64,Table4[Quantity])</f>
        <v>21</v>
      </c>
    </row>
    <row r="65" spans="1:18" x14ac:dyDescent="0.2">
      <c r="A65" t="s">
        <v>166</v>
      </c>
      <c r="B65" s="2">
        <v>46056</v>
      </c>
      <c r="C65" s="2" t="str">
        <f t="shared" si="0"/>
        <v>February</v>
      </c>
      <c r="D65" t="s">
        <v>66</v>
      </c>
      <c r="E65" t="s">
        <v>119</v>
      </c>
      <c r="F65" t="s">
        <v>14</v>
      </c>
      <c r="G65" t="s">
        <v>15</v>
      </c>
      <c r="H65">
        <v>1</v>
      </c>
      <c r="I65" s="3">
        <v>62.47</v>
      </c>
      <c r="J65" s="4">
        <v>0.1</v>
      </c>
      <c r="K65" t="s">
        <v>23</v>
      </c>
      <c r="L65" t="s">
        <v>64</v>
      </c>
      <c r="M65">
        <f t="shared" si="1"/>
        <v>56.222999999999999</v>
      </c>
      <c r="O65" s="6" t="str">
        <v>C043</v>
      </c>
      <c r="P65" s="6">
        <f>SUMIF($D$2:$D$501,O65,$M$2:$M$501)</f>
        <v>205.11</v>
      </c>
      <c r="Q65" s="6">
        <f>COUNTIF($D$2:$D$501,O65)</f>
        <v>1</v>
      </c>
      <c r="R65" s="6">
        <f>SUMIF($D$2:$D$501,O65,Table4[Quantity])</f>
        <v>1</v>
      </c>
    </row>
    <row r="66" spans="1:18" x14ac:dyDescent="0.2">
      <c r="A66" t="s">
        <v>167</v>
      </c>
      <c r="B66" s="2">
        <v>46056</v>
      </c>
      <c r="C66" s="2" t="str">
        <f t="shared" si="0"/>
        <v>February</v>
      </c>
      <c r="D66" t="s">
        <v>25</v>
      </c>
      <c r="E66" t="s">
        <v>26</v>
      </c>
      <c r="F66" t="s">
        <v>63</v>
      </c>
      <c r="G66" t="s">
        <v>22</v>
      </c>
      <c r="H66">
        <v>6</v>
      </c>
      <c r="I66" s="3">
        <v>1226.3399999999999</v>
      </c>
      <c r="J66" s="4">
        <v>0.05</v>
      </c>
      <c r="K66" t="s">
        <v>27</v>
      </c>
      <c r="L66" t="s">
        <v>70</v>
      </c>
      <c r="M66">
        <f t="shared" si="1"/>
        <v>6990.137999999999</v>
      </c>
      <c r="O66" s="6" t="str">
        <v>C044</v>
      </c>
      <c r="P66" s="6">
        <f>SUMIF($D$2:$D$501,O66,$M$2:$M$501)</f>
        <v>308.44800000000004</v>
      </c>
      <c r="Q66" s="6">
        <f>COUNTIF($D$2:$D$501,O66)</f>
        <v>1</v>
      </c>
      <c r="R66" s="6">
        <f>SUMIF($D$2:$D$501,O66,Table4[Quantity])</f>
        <v>4</v>
      </c>
    </row>
    <row r="67" spans="1:18" x14ac:dyDescent="0.2">
      <c r="A67" t="s">
        <v>168</v>
      </c>
      <c r="B67" s="2">
        <v>46056</v>
      </c>
      <c r="C67" s="2" t="str">
        <f t="shared" ref="C67:C130" si="16">TEXT(B67,"mmmm")</f>
        <v>February</v>
      </c>
      <c r="D67" t="s">
        <v>121</v>
      </c>
      <c r="E67" t="s">
        <v>62</v>
      </c>
      <c r="F67" t="s">
        <v>21</v>
      </c>
      <c r="G67" t="s">
        <v>22</v>
      </c>
      <c r="H67">
        <v>4</v>
      </c>
      <c r="I67" s="3">
        <v>70.900000000000006</v>
      </c>
      <c r="J67" s="4">
        <v>0</v>
      </c>
      <c r="K67" t="s">
        <v>23</v>
      </c>
      <c r="L67" t="s">
        <v>70</v>
      </c>
      <c r="M67">
        <f t="shared" ref="M67:M130" si="17">I67*H67*(1-J67)</f>
        <v>283.60000000000002</v>
      </c>
      <c r="O67" s="6" t="str">
        <v>C045</v>
      </c>
      <c r="P67" s="6">
        <f>SUMIF($D$2:$D$501,O67,$M$2:$M$501)</f>
        <v>1719.5965000000001</v>
      </c>
      <c r="Q67" s="6">
        <f>COUNTIF($D$2:$D$501,O67)</f>
        <v>4</v>
      </c>
      <c r="R67" s="6">
        <f>SUMIF($D$2:$D$501,O67,Table4[Quantity])</f>
        <v>13</v>
      </c>
    </row>
    <row r="68" spans="1:18" x14ac:dyDescent="0.2">
      <c r="A68" t="s">
        <v>169</v>
      </c>
      <c r="B68" s="2">
        <v>46057</v>
      </c>
      <c r="C68" s="2" t="str">
        <f t="shared" si="16"/>
        <v>February</v>
      </c>
      <c r="D68" t="s">
        <v>111</v>
      </c>
      <c r="E68" t="s">
        <v>119</v>
      </c>
      <c r="F68" t="s">
        <v>85</v>
      </c>
      <c r="G68" t="s">
        <v>22</v>
      </c>
      <c r="H68">
        <v>5</v>
      </c>
      <c r="I68" s="3">
        <v>530.75</v>
      </c>
      <c r="J68" s="4">
        <v>0.1</v>
      </c>
      <c r="K68" t="s">
        <v>27</v>
      </c>
      <c r="L68" t="s">
        <v>64</v>
      </c>
      <c r="M68">
        <f t="shared" si="17"/>
        <v>2388.375</v>
      </c>
      <c r="O68" s="6" t="str">
        <v>C046</v>
      </c>
      <c r="P68" s="6">
        <f>SUMIF($D$2:$D$501,O68,$M$2:$M$501)</f>
        <v>2280.2429999999999</v>
      </c>
      <c r="Q68" s="6">
        <f>COUNTIF($D$2:$D$501,O68)</f>
        <v>4</v>
      </c>
      <c r="R68" s="6">
        <f>SUMIF($D$2:$D$501,O68,Table4[Quantity])</f>
        <v>10</v>
      </c>
    </row>
    <row r="69" spans="1:18" x14ac:dyDescent="0.2">
      <c r="A69" t="s">
        <v>170</v>
      </c>
      <c r="B69" s="2">
        <v>46057</v>
      </c>
      <c r="C69" s="2" t="str">
        <f t="shared" si="16"/>
        <v>February</v>
      </c>
      <c r="D69" t="s">
        <v>171</v>
      </c>
      <c r="E69" t="s">
        <v>67</v>
      </c>
      <c r="F69" t="s">
        <v>21</v>
      </c>
      <c r="G69" t="s">
        <v>22</v>
      </c>
      <c r="H69">
        <v>2</v>
      </c>
      <c r="I69" s="3">
        <v>69.959999999999994</v>
      </c>
      <c r="J69" s="4">
        <v>0</v>
      </c>
      <c r="K69" t="s">
        <v>23</v>
      </c>
      <c r="L69" t="s">
        <v>56</v>
      </c>
      <c r="M69">
        <f t="shared" si="17"/>
        <v>139.91999999999999</v>
      </c>
      <c r="O69" s="6" t="str">
        <v>C047</v>
      </c>
      <c r="P69" s="6">
        <f>SUMIF($D$2:$D$501,O69,$M$2:$M$501)</f>
        <v>17587.040999999997</v>
      </c>
      <c r="Q69" s="6">
        <f>COUNTIF($D$2:$D$501,O69)</f>
        <v>10</v>
      </c>
      <c r="R69" s="6">
        <f>SUMIF($D$2:$D$501,O69,Table4[Quantity])</f>
        <v>28</v>
      </c>
    </row>
    <row r="70" spans="1:18" x14ac:dyDescent="0.2">
      <c r="A70" t="s">
        <v>172</v>
      </c>
      <c r="B70" s="2">
        <v>46058</v>
      </c>
      <c r="C70" s="2" t="str">
        <f t="shared" si="16"/>
        <v>February</v>
      </c>
      <c r="D70" t="s">
        <v>173</v>
      </c>
      <c r="E70" t="s">
        <v>35</v>
      </c>
      <c r="F70" t="s">
        <v>14</v>
      </c>
      <c r="G70" t="s">
        <v>15</v>
      </c>
      <c r="H70">
        <v>3</v>
      </c>
      <c r="I70" s="3">
        <v>55.25</v>
      </c>
      <c r="J70" s="4">
        <v>0</v>
      </c>
      <c r="K70" t="s">
        <v>27</v>
      </c>
      <c r="L70" t="s">
        <v>17</v>
      </c>
      <c r="M70">
        <f t="shared" si="17"/>
        <v>165.75</v>
      </c>
      <c r="O70" s="6" t="str">
        <v>C048</v>
      </c>
      <c r="P70" s="6">
        <f>SUMIF($D$2:$D$501,O70,$M$2:$M$501)</f>
        <v>4070.27</v>
      </c>
      <c r="Q70" s="6">
        <f>COUNTIF($D$2:$D$501,O70)</f>
        <v>5</v>
      </c>
      <c r="R70" s="6">
        <f>SUMIF($D$2:$D$501,O70,Table4[Quantity])</f>
        <v>8</v>
      </c>
    </row>
    <row r="71" spans="1:18" x14ac:dyDescent="0.2">
      <c r="A71" t="s">
        <v>174</v>
      </c>
      <c r="B71" s="2">
        <v>46058</v>
      </c>
      <c r="C71" s="2" t="str">
        <f t="shared" si="16"/>
        <v>February</v>
      </c>
      <c r="D71" t="s">
        <v>34</v>
      </c>
      <c r="E71" t="s">
        <v>35</v>
      </c>
      <c r="F71" t="s">
        <v>42</v>
      </c>
      <c r="G71" t="s">
        <v>43</v>
      </c>
      <c r="H71">
        <v>1</v>
      </c>
      <c r="I71" s="3">
        <v>269.08999999999997</v>
      </c>
      <c r="J71" s="4">
        <v>0.05</v>
      </c>
      <c r="K71" t="s">
        <v>27</v>
      </c>
      <c r="L71" t="s">
        <v>52</v>
      </c>
      <c r="M71">
        <f t="shared" si="17"/>
        <v>255.63549999999995</v>
      </c>
      <c r="O71" s="6" t="str">
        <v>C049</v>
      </c>
      <c r="P71" s="6">
        <f>SUMIF($D$2:$D$501,O71,$M$2:$M$501)</f>
        <v>3230.4610000000002</v>
      </c>
      <c r="Q71" s="6">
        <f>COUNTIF($D$2:$D$501,O71)</f>
        <v>5</v>
      </c>
      <c r="R71" s="6">
        <f>SUMIF($D$2:$D$501,O71,Table4[Quantity])</f>
        <v>19</v>
      </c>
    </row>
    <row r="72" spans="1:18" x14ac:dyDescent="0.2">
      <c r="A72" t="s">
        <v>175</v>
      </c>
      <c r="B72" s="2">
        <v>46058</v>
      </c>
      <c r="C72" s="2" t="str">
        <f t="shared" si="16"/>
        <v>February</v>
      </c>
      <c r="D72" t="s">
        <v>66</v>
      </c>
      <c r="E72" t="s">
        <v>20</v>
      </c>
      <c r="F72" t="s">
        <v>114</v>
      </c>
      <c r="G72" t="s">
        <v>43</v>
      </c>
      <c r="H72">
        <v>5</v>
      </c>
      <c r="I72" s="3">
        <v>189.66</v>
      </c>
      <c r="J72" s="4">
        <v>0.05</v>
      </c>
      <c r="K72" t="s">
        <v>23</v>
      </c>
      <c r="L72" t="s">
        <v>70</v>
      </c>
      <c r="M72">
        <f t="shared" si="17"/>
        <v>900.88499999999988</v>
      </c>
      <c r="O72" s="6" t="str">
        <v>C050</v>
      </c>
      <c r="P72" s="6">
        <f>SUMIF($D$2:$D$501,O72,$M$2:$M$501)</f>
        <v>7088.360999999999</v>
      </c>
      <c r="Q72" s="6">
        <f>COUNTIF($D$2:$D$501,O72)</f>
        <v>3</v>
      </c>
      <c r="R72" s="6">
        <f>SUMIF($D$2:$D$501,O72,Table4[Quantity])</f>
        <v>22</v>
      </c>
    </row>
    <row r="73" spans="1:18" x14ac:dyDescent="0.2">
      <c r="A73" t="s">
        <v>176</v>
      </c>
      <c r="B73" s="2">
        <v>46058</v>
      </c>
      <c r="C73" s="2" t="str">
        <f t="shared" si="16"/>
        <v>February</v>
      </c>
      <c r="D73" t="s">
        <v>171</v>
      </c>
      <c r="E73" t="s">
        <v>90</v>
      </c>
      <c r="F73" t="s">
        <v>21</v>
      </c>
      <c r="G73" t="s">
        <v>22</v>
      </c>
      <c r="H73">
        <v>4</v>
      </c>
      <c r="I73" s="3">
        <v>76.849999999999994</v>
      </c>
      <c r="J73" s="4">
        <v>0.05</v>
      </c>
      <c r="K73" t="s">
        <v>23</v>
      </c>
      <c r="L73" t="s">
        <v>52</v>
      </c>
      <c r="M73">
        <f t="shared" si="17"/>
        <v>292.02999999999997</v>
      </c>
      <c r="O73" s="6" t="str">
        <v>C051</v>
      </c>
      <c r="P73" s="6">
        <f>SUMIF($D$2:$D$501,O73,$M$2:$M$501)</f>
        <v>14814.891</v>
      </c>
      <c r="Q73" s="6">
        <f>COUNTIF($D$2:$D$501,O73)</f>
        <v>10</v>
      </c>
      <c r="R73" s="6">
        <f>SUMIF($D$2:$D$501,O73,Table4[Quantity])</f>
        <v>35</v>
      </c>
    </row>
    <row r="74" spans="1:18" x14ac:dyDescent="0.2">
      <c r="A74" t="s">
        <v>177</v>
      </c>
      <c r="B74" s="2">
        <v>46059</v>
      </c>
      <c r="C74" s="2" t="str">
        <f t="shared" si="16"/>
        <v>February</v>
      </c>
      <c r="D74" t="s">
        <v>178</v>
      </c>
      <c r="E74" t="s">
        <v>62</v>
      </c>
      <c r="F74" t="s">
        <v>73</v>
      </c>
      <c r="G74" t="s">
        <v>43</v>
      </c>
      <c r="H74">
        <v>1</v>
      </c>
      <c r="I74" s="3">
        <v>205.11</v>
      </c>
      <c r="J74" s="4">
        <v>0</v>
      </c>
      <c r="K74" t="s">
        <v>23</v>
      </c>
      <c r="L74" t="s">
        <v>70</v>
      </c>
      <c r="M74">
        <f t="shared" si="17"/>
        <v>205.11</v>
      </c>
      <c r="O74" s="6" t="str">
        <v>C052</v>
      </c>
      <c r="P74" s="6">
        <f>SUMIF($D$2:$D$501,O74,$M$2:$M$501)</f>
        <v>4916.05</v>
      </c>
      <c r="Q74" s="6">
        <f>COUNTIF($D$2:$D$501,O74)</f>
        <v>5</v>
      </c>
      <c r="R74" s="6">
        <f>SUMIF($D$2:$D$501,O74,Table4[Quantity])</f>
        <v>30</v>
      </c>
    </row>
    <row r="75" spans="1:18" x14ac:dyDescent="0.2">
      <c r="A75" t="s">
        <v>179</v>
      </c>
      <c r="B75" s="2">
        <v>46060</v>
      </c>
      <c r="C75" s="2" t="str">
        <f t="shared" si="16"/>
        <v>February</v>
      </c>
      <c r="D75" t="s">
        <v>157</v>
      </c>
      <c r="E75" t="s">
        <v>67</v>
      </c>
      <c r="F75" t="s">
        <v>63</v>
      </c>
      <c r="G75" t="s">
        <v>22</v>
      </c>
      <c r="H75">
        <v>2</v>
      </c>
      <c r="I75" s="3">
        <v>1150.8499999999999</v>
      </c>
      <c r="J75" s="4">
        <v>0</v>
      </c>
      <c r="K75" t="s">
        <v>44</v>
      </c>
      <c r="L75" t="s">
        <v>32</v>
      </c>
      <c r="M75">
        <f t="shared" si="17"/>
        <v>2301.6999999999998</v>
      </c>
      <c r="O75" s="6" t="str">
        <v>C053</v>
      </c>
      <c r="P75" s="6">
        <f>SUMIF($D$2:$D$501,O75,$M$2:$M$501)</f>
        <v>237.37299999999999</v>
      </c>
      <c r="Q75" s="6">
        <f>COUNTIF($D$2:$D$501,O75)</f>
        <v>2</v>
      </c>
      <c r="R75" s="6">
        <f>SUMIF($D$2:$D$501,O75,Table4[Quantity])</f>
        <v>4</v>
      </c>
    </row>
    <row r="76" spans="1:18" x14ac:dyDescent="0.2">
      <c r="A76" t="s">
        <v>180</v>
      </c>
      <c r="B76" s="2">
        <v>46060</v>
      </c>
      <c r="C76" s="2" t="str">
        <f t="shared" si="16"/>
        <v>February</v>
      </c>
      <c r="D76" t="s">
        <v>82</v>
      </c>
      <c r="E76" t="s">
        <v>35</v>
      </c>
      <c r="F76" t="s">
        <v>42</v>
      </c>
      <c r="G76" t="s">
        <v>43</v>
      </c>
      <c r="H76">
        <v>1</v>
      </c>
      <c r="I76" s="3">
        <v>295.16000000000003</v>
      </c>
      <c r="J76" s="4">
        <v>0.15</v>
      </c>
      <c r="K76" t="s">
        <v>44</v>
      </c>
      <c r="L76" t="s">
        <v>70</v>
      </c>
      <c r="M76">
        <f t="shared" si="17"/>
        <v>250.88600000000002</v>
      </c>
      <c r="O76" s="6" t="str">
        <v>C054</v>
      </c>
      <c r="P76" s="6">
        <f>SUMIF($D$2:$D$501,O76,$M$2:$M$501)</f>
        <v>4139.5069999999996</v>
      </c>
      <c r="Q76" s="6">
        <f>COUNTIF($D$2:$D$501,O76)</f>
        <v>5</v>
      </c>
      <c r="R76" s="6">
        <f>SUMIF($D$2:$D$501,O76,Table4[Quantity])</f>
        <v>8</v>
      </c>
    </row>
    <row r="77" spans="1:18" x14ac:dyDescent="0.2">
      <c r="A77" t="s">
        <v>181</v>
      </c>
      <c r="B77" s="2">
        <v>46061</v>
      </c>
      <c r="C77" s="2" t="str">
        <f t="shared" si="16"/>
        <v>February</v>
      </c>
      <c r="D77" t="s">
        <v>12</v>
      </c>
      <c r="E77" t="s">
        <v>59</v>
      </c>
      <c r="F77" t="s">
        <v>14</v>
      </c>
      <c r="G77" t="s">
        <v>15</v>
      </c>
      <c r="H77">
        <v>10</v>
      </c>
      <c r="I77" s="3">
        <v>59.53</v>
      </c>
      <c r="J77" s="4">
        <v>0</v>
      </c>
      <c r="K77" t="s">
        <v>16</v>
      </c>
      <c r="L77" t="s">
        <v>74</v>
      </c>
      <c r="M77">
        <f t="shared" si="17"/>
        <v>595.29999999999995</v>
      </c>
      <c r="O77" s="6" t="str">
        <v>C055</v>
      </c>
      <c r="P77" s="6">
        <f>SUMIF($D$2:$D$501,O77,$M$2:$M$501)</f>
        <v>1136.942</v>
      </c>
      <c r="Q77" s="6">
        <f>COUNTIF($D$2:$D$501,O77)</f>
        <v>5</v>
      </c>
      <c r="R77" s="6">
        <f>SUMIF($D$2:$D$501,O77,Table4[Quantity])</f>
        <v>15</v>
      </c>
    </row>
    <row r="78" spans="1:18" x14ac:dyDescent="0.2">
      <c r="A78" t="s">
        <v>182</v>
      </c>
      <c r="B78" s="2">
        <v>46061</v>
      </c>
      <c r="C78" s="2" t="str">
        <f t="shared" si="16"/>
        <v>February</v>
      </c>
      <c r="D78" t="s">
        <v>183</v>
      </c>
      <c r="E78" t="s">
        <v>26</v>
      </c>
      <c r="F78" t="s">
        <v>38</v>
      </c>
      <c r="G78" t="s">
        <v>15</v>
      </c>
      <c r="H78">
        <v>4</v>
      </c>
      <c r="I78" s="3">
        <v>30.67</v>
      </c>
      <c r="J78" s="4">
        <v>0</v>
      </c>
      <c r="K78" t="s">
        <v>55</v>
      </c>
      <c r="L78" t="s">
        <v>17</v>
      </c>
      <c r="M78">
        <f t="shared" si="17"/>
        <v>122.68</v>
      </c>
      <c r="O78" s="6" t="str">
        <v>C056</v>
      </c>
      <c r="P78" s="6">
        <f>SUMIF($D$2:$D$501,O78,$M$2:$M$501)</f>
        <v>1961.3245000000002</v>
      </c>
      <c r="Q78" s="6">
        <f>COUNTIF($D$2:$D$501,O78)</f>
        <v>6</v>
      </c>
      <c r="R78" s="6">
        <f>SUMIF($D$2:$D$501,O78,Table4[Quantity])</f>
        <v>22</v>
      </c>
    </row>
    <row r="79" spans="1:18" x14ac:dyDescent="0.2">
      <c r="A79" t="s">
        <v>184</v>
      </c>
      <c r="B79" s="2">
        <v>46062</v>
      </c>
      <c r="C79" s="2" t="str">
        <f t="shared" si="16"/>
        <v>February</v>
      </c>
      <c r="D79" t="s">
        <v>133</v>
      </c>
      <c r="E79" t="s">
        <v>13</v>
      </c>
      <c r="F79" t="s">
        <v>21</v>
      </c>
      <c r="G79" t="s">
        <v>22</v>
      </c>
      <c r="H79">
        <v>8</v>
      </c>
      <c r="I79" s="3">
        <v>78.709999999999994</v>
      </c>
      <c r="J79" s="4">
        <v>0.1</v>
      </c>
      <c r="K79" t="s">
        <v>44</v>
      </c>
      <c r="L79" t="s">
        <v>32</v>
      </c>
      <c r="M79">
        <f t="shared" si="17"/>
        <v>566.71199999999999</v>
      </c>
      <c r="O79" s="6" t="str">
        <v>C057</v>
      </c>
      <c r="P79" s="6">
        <f>SUMIF($D$2:$D$501,O79,$M$2:$M$501)</f>
        <v>1301.482</v>
      </c>
      <c r="Q79" s="6">
        <f>COUNTIF($D$2:$D$501,O79)</f>
        <v>5</v>
      </c>
      <c r="R79" s="6">
        <f>SUMIF($D$2:$D$501,O79,Table4[Quantity])</f>
        <v>17</v>
      </c>
    </row>
    <row r="80" spans="1:18" x14ac:dyDescent="0.2">
      <c r="A80" t="s">
        <v>185</v>
      </c>
      <c r="B80" s="2">
        <v>46063</v>
      </c>
      <c r="C80" s="2" t="str">
        <f t="shared" si="16"/>
        <v>February</v>
      </c>
      <c r="D80" t="s">
        <v>151</v>
      </c>
      <c r="E80" t="s">
        <v>41</v>
      </c>
      <c r="F80" t="s">
        <v>48</v>
      </c>
      <c r="G80" t="s">
        <v>15</v>
      </c>
      <c r="H80">
        <v>5</v>
      </c>
      <c r="I80" s="3">
        <v>92.07</v>
      </c>
      <c r="J80" s="4">
        <v>0.05</v>
      </c>
      <c r="K80" t="s">
        <v>44</v>
      </c>
      <c r="L80" t="s">
        <v>64</v>
      </c>
      <c r="M80">
        <f t="shared" si="17"/>
        <v>437.33249999999992</v>
      </c>
      <c r="O80" s="6" t="str">
        <v>C058</v>
      </c>
      <c r="P80" s="6">
        <f>SUMIF($D$2:$D$501,O80,$M$2:$M$501)</f>
        <v>12865.869500000001</v>
      </c>
      <c r="Q80" s="6">
        <f>COUNTIF($D$2:$D$501,O80)</f>
        <v>9</v>
      </c>
      <c r="R80" s="6">
        <f>SUMIF($D$2:$D$501,O80,Table4[Quantity])</f>
        <v>34</v>
      </c>
    </row>
    <row r="81" spans="1:18" x14ac:dyDescent="0.2">
      <c r="A81" t="s">
        <v>186</v>
      </c>
      <c r="B81" s="2">
        <v>46064</v>
      </c>
      <c r="C81" s="2" t="str">
        <f t="shared" si="16"/>
        <v>February</v>
      </c>
      <c r="D81" t="s">
        <v>187</v>
      </c>
      <c r="E81" t="s">
        <v>67</v>
      </c>
      <c r="F81" t="s">
        <v>48</v>
      </c>
      <c r="G81" t="s">
        <v>15</v>
      </c>
      <c r="H81">
        <v>1</v>
      </c>
      <c r="I81" s="3">
        <v>86.87</v>
      </c>
      <c r="J81" s="4">
        <v>0</v>
      </c>
      <c r="K81" t="s">
        <v>55</v>
      </c>
      <c r="L81" t="s">
        <v>70</v>
      </c>
      <c r="M81">
        <f t="shared" si="17"/>
        <v>86.87</v>
      </c>
      <c r="O81" s="6" t="str">
        <v>C059</v>
      </c>
      <c r="P81" s="6">
        <f>SUMIF($D$2:$D$501,O81,$M$2:$M$501)</f>
        <v>3813.4295000000002</v>
      </c>
      <c r="Q81" s="6">
        <f>COUNTIF($D$2:$D$501,O81)</f>
        <v>6</v>
      </c>
      <c r="R81" s="6">
        <f>SUMIF($D$2:$D$501,O81,Table4[Quantity])</f>
        <v>15</v>
      </c>
    </row>
    <row r="82" spans="1:18" x14ac:dyDescent="0.2">
      <c r="A82" t="s">
        <v>188</v>
      </c>
      <c r="B82" s="2">
        <v>46065</v>
      </c>
      <c r="C82" s="2" t="str">
        <f t="shared" si="16"/>
        <v>February</v>
      </c>
      <c r="D82" t="s">
        <v>116</v>
      </c>
      <c r="E82" t="s">
        <v>31</v>
      </c>
      <c r="F82" t="s">
        <v>73</v>
      </c>
      <c r="G82" t="s">
        <v>43</v>
      </c>
      <c r="H82">
        <v>4</v>
      </c>
      <c r="I82" s="3">
        <v>219.29</v>
      </c>
      <c r="J82" s="4">
        <v>0</v>
      </c>
      <c r="K82" t="s">
        <v>23</v>
      </c>
      <c r="L82" t="s">
        <v>74</v>
      </c>
      <c r="M82">
        <f t="shared" si="17"/>
        <v>877.16</v>
      </c>
      <c r="O82" s="6" t="str">
        <v>C060</v>
      </c>
      <c r="P82" s="6">
        <f>SUMIF($D$2:$D$501,O82,$M$2:$M$501)</f>
        <v>2685.9274999999998</v>
      </c>
      <c r="Q82" s="6">
        <f>COUNTIF($D$2:$D$501,O82)</f>
        <v>7</v>
      </c>
      <c r="R82" s="6">
        <f>SUMIF($D$2:$D$501,O82,Table4[Quantity])</f>
        <v>24</v>
      </c>
    </row>
    <row r="83" spans="1:18" x14ac:dyDescent="0.2">
      <c r="A83" t="s">
        <v>189</v>
      </c>
      <c r="B83" s="2">
        <v>46065</v>
      </c>
      <c r="C83" s="2" t="str">
        <f t="shared" si="16"/>
        <v>February</v>
      </c>
      <c r="D83" t="s">
        <v>190</v>
      </c>
      <c r="E83" t="s">
        <v>59</v>
      </c>
      <c r="F83" t="s">
        <v>77</v>
      </c>
      <c r="G83" t="s">
        <v>22</v>
      </c>
      <c r="H83">
        <v>3</v>
      </c>
      <c r="I83" s="3">
        <v>348.69</v>
      </c>
      <c r="J83" s="4">
        <v>0</v>
      </c>
      <c r="K83" t="s">
        <v>23</v>
      </c>
      <c r="L83" t="s">
        <v>52</v>
      </c>
      <c r="M83">
        <f t="shared" si="17"/>
        <v>1046.07</v>
      </c>
      <c r="O83" s="6" t="str">
        <v>C061</v>
      </c>
      <c r="P83" s="6">
        <f>SUMIF($D$2:$D$501,O83,$M$2:$M$501)</f>
        <v>3259.078</v>
      </c>
      <c r="Q83" s="6">
        <f>COUNTIF($D$2:$D$501,O83)</f>
        <v>6</v>
      </c>
      <c r="R83" s="6">
        <f>SUMIF($D$2:$D$501,O83,Table4[Quantity])</f>
        <v>10</v>
      </c>
    </row>
    <row r="84" spans="1:18" x14ac:dyDescent="0.2">
      <c r="A84" t="s">
        <v>191</v>
      </c>
      <c r="B84" s="2">
        <v>46065</v>
      </c>
      <c r="C84" s="2" t="str">
        <f t="shared" si="16"/>
        <v>February</v>
      </c>
      <c r="D84" t="s">
        <v>155</v>
      </c>
      <c r="E84" t="s">
        <v>20</v>
      </c>
      <c r="F84" t="s">
        <v>77</v>
      </c>
      <c r="G84" t="s">
        <v>22</v>
      </c>
      <c r="H84">
        <v>1</v>
      </c>
      <c r="I84" s="3">
        <v>356.14</v>
      </c>
      <c r="J84" s="4">
        <v>0.1</v>
      </c>
      <c r="K84" t="s">
        <v>55</v>
      </c>
      <c r="L84" t="s">
        <v>28</v>
      </c>
      <c r="M84">
        <f t="shared" si="17"/>
        <v>320.52600000000001</v>
      </c>
      <c r="O84" s="6" t="str">
        <v>C062</v>
      </c>
      <c r="P84" s="6">
        <f>SUMIF($D$2:$D$501,O84,$M$2:$M$501)</f>
        <v>3124.2569999999996</v>
      </c>
      <c r="Q84" s="6">
        <f>COUNTIF($D$2:$D$501,O84)</f>
        <v>8</v>
      </c>
      <c r="R84" s="6">
        <f>SUMIF($D$2:$D$501,O84,Table4[Quantity])</f>
        <v>24</v>
      </c>
    </row>
    <row r="85" spans="1:18" x14ac:dyDescent="0.2">
      <c r="A85" t="s">
        <v>192</v>
      </c>
      <c r="B85" s="2">
        <v>46066</v>
      </c>
      <c r="C85" s="2" t="str">
        <f t="shared" si="16"/>
        <v>February</v>
      </c>
      <c r="D85" t="s">
        <v>133</v>
      </c>
      <c r="E85" t="s">
        <v>93</v>
      </c>
      <c r="F85" t="s">
        <v>63</v>
      </c>
      <c r="G85" t="s">
        <v>22</v>
      </c>
      <c r="H85">
        <v>2</v>
      </c>
      <c r="I85" s="3">
        <v>1166.8800000000001</v>
      </c>
      <c r="J85" s="4">
        <v>0</v>
      </c>
      <c r="K85" t="s">
        <v>16</v>
      </c>
      <c r="L85" t="s">
        <v>52</v>
      </c>
      <c r="M85">
        <f t="shared" si="17"/>
        <v>2333.7600000000002</v>
      </c>
      <c r="O85" s="6" t="str">
        <v>C063</v>
      </c>
      <c r="P85" s="6">
        <f>SUMIF($D$2:$D$501,O85,$M$2:$M$501)</f>
        <v>2813.192</v>
      </c>
      <c r="Q85" s="6">
        <f>COUNTIF($D$2:$D$501,O85)</f>
        <v>4</v>
      </c>
      <c r="R85" s="6">
        <f>SUMIF($D$2:$D$501,O85,Table4[Quantity])</f>
        <v>8</v>
      </c>
    </row>
    <row r="86" spans="1:18" x14ac:dyDescent="0.2">
      <c r="A86" t="s">
        <v>193</v>
      </c>
      <c r="B86" s="2">
        <v>46066</v>
      </c>
      <c r="C86" s="2" t="str">
        <f t="shared" si="16"/>
        <v>February</v>
      </c>
      <c r="D86" t="s">
        <v>84</v>
      </c>
      <c r="E86" t="s">
        <v>13</v>
      </c>
      <c r="F86" t="s">
        <v>38</v>
      </c>
      <c r="G86" t="s">
        <v>15</v>
      </c>
      <c r="H86">
        <v>1</v>
      </c>
      <c r="I86" s="3">
        <v>30.08</v>
      </c>
      <c r="J86" s="4">
        <v>0</v>
      </c>
      <c r="K86" t="s">
        <v>23</v>
      </c>
      <c r="L86" t="s">
        <v>28</v>
      </c>
      <c r="M86">
        <f t="shared" si="17"/>
        <v>30.08</v>
      </c>
      <c r="O86" s="6" t="str">
        <v>C064</v>
      </c>
      <c r="P86" s="6">
        <f>SUMIF($D$2:$D$501,O86,$M$2:$M$501)</f>
        <v>914.42100000000005</v>
      </c>
      <c r="Q86" s="6">
        <f>COUNTIF($D$2:$D$501,O86)</f>
        <v>2</v>
      </c>
      <c r="R86" s="6">
        <f>SUMIF($D$2:$D$501,O86,Table4[Quantity])</f>
        <v>6</v>
      </c>
    </row>
    <row r="87" spans="1:18" x14ac:dyDescent="0.2">
      <c r="A87" t="s">
        <v>194</v>
      </c>
      <c r="B87" s="2">
        <v>46067</v>
      </c>
      <c r="C87" s="2" t="str">
        <f t="shared" si="16"/>
        <v>February</v>
      </c>
      <c r="D87" t="s">
        <v>195</v>
      </c>
      <c r="E87" t="s">
        <v>90</v>
      </c>
      <c r="F87" t="s">
        <v>77</v>
      </c>
      <c r="G87" t="s">
        <v>22</v>
      </c>
      <c r="H87">
        <v>6</v>
      </c>
      <c r="I87" s="3">
        <v>325.44</v>
      </c>
      <c r="J87" s="4">
        <v>0.2</v>
      </c>
      <c r="K87" t="s">
        <v>16</v>
      </c>
      <c r="L87" t="s">
        <v>32</v>
      </c>
      <c r="M87">
        <f t="shared" si="17"/>
        <v>1562.1120000000001</v>
      </c>
      <c r="O87" s="6" t="str">
        <v>C065</v>
      </c>
      <c r="P87" s="6">
        <f>SUMIF($D$2:$D$501,O87,$M$2:$M$501)</f>
        <v>7483.5644999999995</v>
      </c>
      <c r="Q87" s="6">
        <f>COUNTIF($D$2:$D$501,O87)</f>
        <v>5</v>
      </c>
      <c r="R87" s="6">
        <f>SUMIF($D$2:$D$501,O87,Table4[Quantity])</f>
        <v>17</v>
      </c>
    </row>
    <row r="88" spans="1:18" x14ac:dyDescent="0.2">
      <c r="A88" t="s">
        <v>196</v>
      </c>
      <c r="B88" s="2">
        <v>46067</v>
      </c>
      <c r="C88" s="2" t="str">
        <f t="shared" si="16"/>
        <v>February</v>
      </c>
      <c r="D88" t="s">
        <v>30</v>
      </c>
      <c r="E88" t="s">
        <v>31</v>
      </c>
      <c r="F88" t="s">
        <v>77</v>
      </c>
      <c r="G88" t="s">
        <v>22</v>
      </c>
      <c r="H88">
        <v>4</v>
      </c>
      <c r="I88" s="3">
        <v>371.37</v>
      </c>
      <c r="J88" s="4">
        <v>0</v>
      </c>
      <c r="K88" t="s">
        <v>44</v>
      </c>
      <c r="L88" t="s">
        <v>70</v>
      </c>
      <c r="M88">
        <f t="shared" si="17"/>
        <v>1485.48</v>
      </c>
      <c r="O88" s="6" t="str">
        <v>C066</v>
      </c>
      <c r="P88" s="6">
        <f>SUMIF($D$2:$D$501,O88,$M$2:$M$501)</f>
        <v>7256.5964999999997</v>
      </c>
      <c r="Q88" s="6">
        <f>COUNTIF($D$2:$D$501,O88)</f>
        <v>7</v>
      </c>
      <c r="R88" s="6">
        <f>SUMIF($D$2:$D$501,O88,Table4[Quantity])</f>
        <v>21</v>
      </c>
    </row>
    <row r="89" spans="1:18" x14ac:dyDescent="0.2">
      <c r="A89" t="s">
        <v>197</v>
      </c>
      <c r="B89" s="2">
        <v>46068</v>
      </c>
      <c r="C89" s="2" t="str">
        <f t="shared" si="16"/>
        <v>February</v>
      </c>
      <c r="D89" t="s">
        <v>198</v>
      </c>
      <c r="E89" t="s">
        <v>47</v>
      </c>
      <c r="F89" t="s">
        <v>114</v>
      </c>
      <c r="G89" t="s">
        <v>43</v>
      </c>
      <c r="H89">
        <v>1</v>
      </c>
      <c r="I89" s="3">
        <v>179.13</v>
      </c>
      <c r="J89" s="4">
        <v>0.2</v>
      </c>
      <c r="K89" t="s">
        <v>55</v>
      </c>
      <c r="L89" t="s">
        <v>56</v>
      </c>
      <c r="M89">
        <f t="shared" si="17"/>
        <v>143.304</v>
      </c>
      <c r="O89" s="6" t="str">
        <v>C067</v>
      </c>
      <c r="P89" s="6">
        <f>SUMIF($D$2:$D$501,O89,$M$2:$M$501)</f>
        <v>10082.3845</v>
      </c>
      <c r="Q89" s="6">
        <f>COUNTIF($D$2:$D$501,O89)</f>
        <v>8</v>
      </c>
      <c r="R89" s="6">
        <f>SUMIF($D$2:$D$501,O89,Table4[Quantity])</f>
        <v>19</v>
      </c>
    </row>
    <row r="90" spans="1:18" x14ac:dyDescent="0.2">
      <c r="A90" t="s">
        <v>199</v>
      </c>
      <c r="B90" s="2">
        <v>46068</v>
      </c>
      <c r="C90" s="2" t="str">
        <f t="shared" si="16"/>
        <v>February</v>
      </c>
      <c r="D90" t="s">
        <v>200</v>
      </c>
      <c r="E90" t="s">
        <v>80</v>
      </c>
      <c r="F90" t="s">
        <v>73</v>
      </c>
      <c r="G90" t="s">
        <v>43</v>
      </c>
      <c r="H90">
        <v>1</v>
      </c>
      <c r="I90" s="3">
        <v>209.95</v>
      </c>
      <c r="J90" s="4">
        <v>0</v>
      </c>
      <c r="K90" t="s">
        <v>44</v>
      </c>
      <c r="L90" t="s">
        <v>64</v>
      </c>
      <c r="M90">
        <f t="shared" si="17"/>
        <v>209.95</v>
      </c>
      <c r="O90" s="6" t="str">
        <v>C068</v>
      </c>
      <c r="P90" s="6">
        <f>SUMIF($D$2:$D$501,O90,$M$2:$M$501)</f>
        <v>1016.1265000000001</v>
      </c>
      <c r="Q90" s="6">
        <f>COUNTIF($D$2:$D$501,O90)</f>
        <v>4</v>
      </c>
      <c r="R90" s="6">
        <f>SUMIF($D$2:$D$501,O90,Table4[Quantity])</f>
        <v>9</v>
      </c>
    </row>
    <row r="91" spans="1:18" x14ac:dyDescent="0.2">
      <c r="A91" t="s">
        <v>201</v>
      </c>
      <c r="B91" s="2">
        <v>46068</v>
      </c>
      <c r="C91" s="2" t="str">
        <f t="shared" si="16"/>
        <v>February</v>
      </c>
      <c r="D91" t="s">
        <v>118</v>
      </c>
      <c r="E91" t="s">
        <v>41</v>
      </c>
      <c r="F91" t="s">
        <v>21</v>
      </c>
      <c r="G91" t="s">
        <v>22</v>
      </c>
      <c r="H91">
        <v>3</v>
      </c>
      <c r="I91" s="3">
        <v>74.540000000000006</v>
      </c>
      <c r="J91" s="4">
        <v>0</v>
      </c>
      <c r="K91" t="s">
        <v>16</v>
      </c>
      <c r="L91" t="s">
        <v>17</v>
      </c>
      <c r="M91">
        <f t="shared" si="17"/>
        <v>223.62</v>
      </c>
      <c r="O91" s="6" t="str">
        <v>C069</v>
      </c>
      <c r="P91" s="6">
        <f>SUMIF($D$2:$D$501,O91,$M$2:$M$501)</f>
        <v>6182.369999999999</v>
      </c>
      <c r="Q91" s="6">
        <f>COUNTIF($D$2:$D$501,O91)</f>
        <v>6</v>
      </c>
      <c r="R91" s="6">
        <f>SUMIF($D$2:$D$501,O91,Table4[Quantity])</f>
        <v>19</v>
      </c>
    </row>
    <row r="92" spans="1:18" x14ac:dyDescent="0.2">
      <c r="A92" t="s">
        <v>202</v>
      </c>
      <c r="B92" s="2">
        <v>46068</v>
      </c>
      <c r="C92" s="2" t="str">
        <f t="shared" si="16"/>
        <v>February</v>
      </c>
      <c r="D92" t="s">
        <v>107</v>
      </c>
      <c r="E92" t="s">
        <v>90</v>
      </c>
      <c r="F92" t="s">
        <v>77</v>
      </c>
      <c r="G92" t="s">
        <v>22</v>
      </c>
      <c r="H92">
        <v>2</v>
      </c>
      <c r="I92" s="3">
        <v>325.92</v>
      </c>
      <c r="J92" s="4">
        <v>0.15</v>
      </c>
      <c r="K92" t="s">
        <v>27</v>
      </c>
      <c r="L92" t="s">
        <v>74</v>
      </c>
      <c r="M92">
        <f t="shared" si="17"/>
        <v>554.06399999999996</v>
      </c>
      <c r="O92" s="6" t="str">
        <v>C070</v>
      </c>
      <c r="P92" s="6">
        <f>SUMIF($D$2:$D$501,O92,$M$2:$M$501)</f>
        <v>5290.4679999999998</v>
      </c>
      <c r="Q92" s="6">
        <f>COUNTIF($D$2:$D$501,O92)</f>
        <v>4</v>
      </c>
      <c r="R92" s="6">
        <f>SUMIF($D$2:$D$501,O92,Table4[Quantity])</f>
        <v>17</v>
      </c>
    </row>
    <row r="93" spans="1:18" x14ac:dyDescent="0.2">
      <c r="A93" t="s">
        <v>203</v>
      </c>
      <c r="B93" s="2">
        <v>46068</v>
      </c>
      <c r="C93" s="2" t="str">
        <f t="shared" si="16"/>
        <v>February</v>
      </c>
      <c r="D93" t="s">
        <v>204</v>
      </c>
      <c r="E93" t="s">
        <v>62</v>
      </c>
      <c r="F93" t="s">
        <v>14</v>
      </c>
      <c r="G93" t="s">
        <v>15</v>
      </c>
      <c r="H93">
        <v>1</v>
      </c>
      <c r="I93" s="3">
        <v>55.25</v>
      </c>
      <c r="J93" s="4">
        <v>0.05</v>
      </c>
      <c r="K93" t="s">
        <v>44</v>
      </c>
      <c r="L93" t="s">
        <v>52</v>
      </c>
      <c r="M93">
        <f t="shared" si="17"/>
        <v>52.487499999999997</v>
      </c>
      <c r="O93" s="6" t="str">
        <v>C071</v>
      </c>
      <c r="P93" s="6">
        <f>SUMIF($D$2:$D$501,O93,$M$2:$M$501)</f>
        <v>1895.297</v>
      </c>
      <c r="Q93" s="6">
        <f>COUNTIF($D$2:$D$501,O93)</f>
        <v>4</v>
      </c>
      <c r="R93" s="6">
        <f>SUMIF($D$2:$D$501,O93,Table4[Quantity])</f>
        <v>12</v>
      </c>
    </row>
    <row r="94" spans="1:18" x14ac:dyDescent="0.2">
      <c r="A94" t="s">
        <v>205</v>
      </c>
      <c r="B94" s="2">
        <v>46068</v>
      </c>
      <c r="C94" s="2" t="str">
        <f t="shared" si="16"/>
        <v>February</v>
      </c>
      <c r="D94" t="s">
        <v>173</v>
      </c>
      <c r="E94" t="s">
        <v>93</v>
      </c>
      <c r="F94" t="s">
        <v>48</v>
      </c>
      <c r="G94" t="s">
        <v>15</v>
      </c>
      <c r="H94">
        <v>4</v>
      </c>
      <c r="I94" s="3">
        <v>84.69</v>
      </c>
      <c r="J94" s="4">
        <v>0.2</v>
      </c>
      <c r="K94" t="s">
        <v>55</v>
      </c>
      <c r="L94" t="s">
        <v>32</v>
      </c>
      <c r="M94">
        <f t="shared" si="17"/>
        <v>271.00799999999998</v>
      </c>
      <c r="O94" s="6" t="str">
        <v>C072</v>
      </c>
      <c r="P94" s="6">
        <f>SUMIF($D$2:$D$501,O94,$M$2:$M$501)</f>
        <v>4012.0220000000004</v>
      </c>
      <c r="Q94" s="6">
        <f>COUNTIF($D$2:$D$501,O94)</f>
        <v>3</v>
      </c>
      <c r="R94" s="6">
        <f>SUMIF($D$2:$D$501,O94,Table4[Quantity])</f>
        <v>9</v>
      </c>
    </row>
    <row r="95" spans="1:18" x14ac:dyDescent="0.2">
      <c r="A95" t="s">
        <v>206</v>
      </c>
      <c r="B95" s="2">
        <v>46069</v>
      </c>
      <c r="C95" s="2" t="str">
        <f t="shared" si="16"/>
        <v>February</v>
      </c>
      <c r="D95" t="s">
        <v>140</v>
      </c>
      <c r="E95" t="s">
        <v>90</v>
      </c>
      <c r="F95" t="s">
        <v>77</v>
      </c>
      <c r="G95" t="s">
        <v>22</v>
      </c>
      <c r="H95">
        <v>1</v>
      </c>
      <c r="I95" s="3">
        <v>327.14</v>
      </c>
      <c r="J95" s="4">
        <v>0</v>
      </c>
      <c r="K95" t="s">
        <v>55</v>
      </c>
      <c r="L95" t="s">
        <v>74</v>
      </c>
      <c r="M95">
        <f t="shared" si="17"/>
        <v>327.14</v>
      </c>
      <c r="O95" s="6" t="str">
        <v>C073</v>
      </c>
      <c r="P95" s="6">
        <f>SUMIF($D$2:$D$501,O95,$M$2:$M$501)</f>
        <v>703.28550000000007</v>
      </c>
      <c r="Q95" s="6">
        <f>COUNTIF($D$2:$D$501,O95)</f>
        <v>3</v>
      </c>
      <c r="R95" s="6">
        <f>SUMIF($D$2:$D$501,O95,Table4[Quantity])</f>
        <v>4</v>
      </c>
    </row>
    <row r="96" spans="1:18" x14ac:dyDescent="0.2">
      <c r="A96" t="s">
        <v>207</v>
      </c>
      <c r="B96" s="2">
        <v>46069</v>
      </c>
      <c r="C96" s="2" t="str">
        <f t="shared" si="16"/>
        <v>February</v>
      </c>
      <c r="D96" t="s">
        <v>149</v>
      </c>
      <c r="E96" t="s">
        <v>67</v>
      </c>
      <c r="F96" t="s">
        <v>38</v>
      </c>
      <c r="G96" t="s">
        <v>15</v>
      </c>
      <c r="H96">
        <v>5</v>
      </c>
      <c r="I96" s="3">
        <v>30.27</v>
      </c>
      <c r="J96" s="4">
        <v>0.2</v>
      </c>
      <c r="K96" t="s">
        <v>16</v>
      </c>
      <c r="L96" t="s">
        <v>32</v>
      </c>
      <c r="M96">
        <f t="shared" si="17"/>
        <v>121.08</v>
      </c>
      <c r="O96" s="6" t="str">
        <v>C074</v>
      </c>
      <c r="P96" s="6">
        <f>SUMIF($D$2:$D$501,O96,$M$2:$M$501)</f>
        <v>8282.9269999999997</v>
      </c>
      <c r="Q96" s="6">
        <f>COUNTIF($D$2:$D$501,O96)</f>
        <v>4</v>
      </c>
      <c r="R96" s="6">
        <f>SUMIF($D$2:$D$501,O96,Table4[Quantity])</f>
        <v>14</v>
      </c>
    </row>
    <row r="97" spans="1:18" x14ac:dyDescent="0.2">
      <c r="A97" t="s">
        <v>208</v>
      </c>
      <c r="B97" s="2">
        <v>46069</v>
      </c>
      <c r="C97" s="2" t="str">
        <f t="shared" si="16"/>
        <v>February</v>
      </c>
      <c r="D97" t="s">
        <v>209</v>
      </c>
      <c r="E97" t="s">
        <v>90</v>
      </c>
      <c r="F97" t="s">
        <v>21</v>
      </c>
      <c r="G97" t="s">
        <v>22</v>
      </c>
      <c r="H97">
        <v>1</v>
      </c>
      <c r="I97" s="3">
        <v>69.91</v>
      </c>
      <c r="J97" s="4">
        <v>0.05</v>
      </c>
      <c r="K97" t="s">
        <v>27</v>
      </c>
      <c r="L97" t="s">
        <v>74</v>
      </c>
      <c r="M97">
        <f t="shared" si="17"/>
        <v>66.41449999999999</v>
      </c>
      <c r="O97" s="6" t="str">
        <v>C075</v>
      </c>
      <c r="P97" s="6">
        <f>SUMIF($D$2:$D$501,O97,$M$2:$M$501)</f>
        <v>978.89549999999997</v>
      </c>
      <c r="Q97" s="6">
        <f>COUNTIF($D$2:$D$501,O97)</f>
        <v>3</v>
      </c>
      <c r="R97" s="6">
        <f>SUMIF($D$2:$D$501,O97,Table4[Quantity])</f>
        <v>10</v>
      </c>
    </row>
    <row r="98" spans="1:18" x14ac:dyDescent="0.2">
      <c r="A98" t="s">
        <v>210</v>
      </c>
      <c r="B98" s="2">
        <v>46069</v>
      </c>
      <c r="C98" s="2" t="str">
        <f t="shared" si="16"/>
        <v>February</v>
      </c>
      <c r="D98" t="s">
        <v>211</v>
      </c>
      <c r="E98" t="s">
        <v>67</v>
      </c>
      <c r="F98" t="s">
        <v>21</v>
      </c>
      <c r="G98" t="s">
        <v>22</v>
      </c>
      <c r="H98">
        <v>1</v>
      </c>
      <c r="I98" s="3">
        <v>80.84</v>
      </c>
      <c r="J98" s="4">
        <v>0.05</v>
      </c>
      <c r="K98" t="s">
        <v>23</v>
      </c>
      <c r="L98" t="s">
        <v>52</v>
      </c>
      <c r="M98">
        <f t="shared" si="17"/>
        <v>76.798000000000002</v>
      </c>
      <c r="O98" s="6" t="str">
        <v>C076</v>
      </c>
      <c r="P98" s="6">
        <f>SUMIF($D$2:$D$501,O98,$M$2:$M$501)</f>
        <v>1641.3229999999999</v>
      </c>
      <c r="Q98" s="6">
        <f>COUNTIF($D$2:$D$501,O98)</f>
        <v>4</v>
      </c>
      <c r="R98" s="6">
        <f>SUMIF($D$2:$D$501,O98,Table4[Quantity])</f>
        <v>12</v>
      </c>
    </row>
    <row r="99" spans="1:18" x14ac:dyDescent="0.2">
      <c r="A99" t="s">
        <v>212</v>
      </c>
      <c r="B99" s="2">
        <v>46069</v>
      </c>
      <c r="C99" s="2" t="str">
        <f t="shared" si="16"/>
        <v>February</v>
      </c>
      <c r="D99" t="s">
        <v>126</v>
      </c>
      <c r="E99" t="s">
        <v>20</v>
      </c>
      <c r="F99" t="s">
        <v>77</v>
      </c>
      <c r="G99" t="s">
        <v>22</v>
      </c>
      <c r="H99">
        <v>2</v>
      </c>
      <c r="I99" s="3">
        <v>330.4</v>
      </c>
      <c r="J99" s="4">
        <v>0.1</v>
      </c>
      <c r="K99" t="s">
        <v>16</v>
      </c>
      <c r="L99" t="s">
        <v>64</v>
      </c>
      <c r="M99">
        <f t="shared" si="17"/>
        <v>594.72</v>
      </c>
      <c r="O99" s="6" t="str">
        <v>C077</v>
      </c>
      <c r="P99" s="6">
        <f>SUMIF($D$2:$D$501,O99,$M$2:$M$501)</f>
        <v>48.352000000000004</v>
      </c>
      <c r="Q99" s="6">
        <f>COUNTIF($D$2:$D$501,O99)</f>
        <v>1</v>
      </c>
      <c r="R99" s="6">
        <f>SUMIF($D$2:$D$501,O99,Table4[Quantity])</f>
        <v>2</v>
      </c>
    </row>
    <row r="100" spans="1:18" x14ac:dyDescent="0.2">
      <c r="A100" t="s">
        <v>213</v>
      </c>
      <c r="B100" s="2">
        <v>46069</v>
      </c>
      <c r="C100" s="2" t="str">
        <f t="shared" si="16"/>
        <v>February</v>
      </c>
      <c r="D100" t="s">
        <v>118</v>
      </c>
      <c r="E100" t="s">
        <v>90</v>
      </c>
      <c r="F100" t="s">
        <v>21</v>
      </c>
      <c r="G100" t="s">
        <v>22</v>
      </c>
      <c r="H100">
        <v>1</v>
      </c>
      <c r="I100" s="3">
        <v>74.349999999999994</v>
      </c>
      <c r="J100" s="4">
        <v>0.15</v>
      </c>
      <c r="K100" t="s">
        <v>44</v>
      </c>
      <c r="L100" t="s">
        <v>17</v>
      </c>
      <c r="M100">
        <f t="shared" si="17"/>
        <v>63.197499999999991</v>
      </c>
      <c r="O100" s="6" t="str">
        <v>C078</v>
      </c>
      <c r="P100" s="6">
        <f>SUMIF($D$2:$D$501,O100,$M$2:$M$501)</f>
        <v>10244.368000000002</v>
      </c>
      <c r="Q100" s="6">
        <f>COUNTIF($D$2:$D$501,O100)</f>
        <v>7</v>
      </c>
      <c r="R100" s="6">
        <f>SUMIF($D$2:$D$501,O100,Table4[Quantity])</f>
        <v>22</v>
      </c>
    </row>
    <row r="101" spans="1:18" x14ac:dyDescent="0.2">
      <c r="A101" t="s">
        <v>214</v>
      </c>
      <c r="B101" s="2">
        <v>46069</v>
      </c>
      <c r="C101" s="2" t="str">
        <f t="shared" si="16"/>
        <v>February</v>
      </c>
      <c r="D101" t="s">
        <v>12</v>
      </c>
      <c r="E101" t="s">
        <v>31</v>
      </c>
      <c r="F101" t="s">
        <v>85</v>
      </c>
      <c r="G101" t="s">
        <v>22</v>
      </c>
      <c r="H101">
        <v>1</v>
      </c>
      <c r="I101" s="3">
        <v>460.61</v>
      </c>
      <c r="J101" s="4">
        <v>0</v>
      </c>
      <c r="K101" t="s">
        <v>55</v>
      </c>
      <c r="L101" t="s">
        <v>32</v>
      </c>
      <c r="M101">
        <f t="shared" si="17"/>
        <v>460.61</v>
      </c>
      <c r="O101" s="6" t="str">
        <v>C079</v>
      </c>
      <c r="P101" s="6">
        <f>SUMIF($D$2:$D$501,O101,$M$2:$M$501)</f>
        <v>1712.5010000000002</v>
      </c>
      <c r="Q101" s="6">
        <f>COUNTIF($D$2:$D$501,O101)</f>
        <v>5</v>
      </c>
      <c r="R101" s="6">
        <f>SUMIF($D$2:$D$501,O101,Table4[Quantity])</f>
        <v>8</v>
      </c>
    </row>
    <row r="102" spans="1:18" x14ac:dyDescent="0.2">
      <c r="A102" t="s">
        <v>215</v>
      </c>
      <c r="B102" s="2">
        <v>46069</v>
      </c>
      <c r="C102" s="2" t="str">
        <f t="shared" si="16"/>
        <v>February</v>
      </c>
      <c r="D102" t="s">
        <v>12</v>
      </c>
      <c r="E102" t="s">
        <v>31</v>
      </c>
      <c r="F102" t="s">
        <v>48</v>
      </c>
      <c r="G102" t="s">
        <v>15</v>
      </c>
      <c r="H102">
        <v>2</v>
      </c>
      <c r="I102" s="3">
        <v>89.06</v>
      </c>
      <c r="J102" s="4">
        <v>0</v>
      </c>
      <c r="K102" t="s">
        <v>44</v>
      </c>
      <c r="L102" t="s">
        <v>64</v>
      </c>
      <c r="M102">
        <f t="shared" si="17"/>
        <v>178.12</v>
      </c>
      <c r="O102" s="6" t="str">
        <v>C080</v>
      </c>
      <c r="P102" s="6">
        <f>SUMIF($D$2:$D$501,O102,$M$2:$M$501)</f>
        <v>6710.3409999999994</v>
      </c>
      <c r="Q102" s="6">
        <f>COUNTIF($D$2:$D$501,O102)</f>
        <v>4</v>
      </c>
      <c r="R102" s="6">
        <f>SUMIF($D$2:$D$501,O102,Table4[Quantity])</f>
        <v>12</v>
      </c>
    </row>
    <row r="103" spans="1:18" x14ac:dyDescent="0.2">
      <c r="A103" t="s">
        <v>216</v>
      </c>
      <c r="B103" s="2">
        <v>46069</v>
      </c>
      <c r="C103" s="2" t="str">
        <f t="shared" si="16"/>
        <v>February</v>
      </c>
      <c r="D103" t="s">
        <v>34</v>
      </c>
      <c r="E103" t="s">
        <v>47</v>
      </c>
      <c r="F103" t="s">
        <v>114</v>
      </c>
      <c r="G103" t="s">
        <v>43</v>
      </c>
      <c r="H103">
        <v>8</v>
      </c>
      <c r="I103" s="3">
        <v>186.35</v>
      </c>
      <c r="J103" s="4">
        <v>0.1</v>
      </c>
      <c r="K103" t="s">
        <v>44</v>
      </c>
      <c r="L103" t="s">
        <v>52</v>
      </c>
      <c r="M103">
        <f t="shared" si="17"/>
        <v>1341.72</v>
      </c>
      <c r="O103" s="6" t="str">
        <v>C081</v>
      </c>
      <c r="P103" s="6">
        <f>SUMIF($D$2:$D$501,O103,$M$2:$M$501)</f>
        <v>1715.77</v>
      </c>
      <c r="Q103" s="6">
        <f>COUNTIF($D$2:$D$501,O103)</f>
        <v>5</v>
      </c>
      <c r="R103" s="6">
        <f>SUMIF($D$2:$D$501,O103,Table4[Quantity])</f>
        <v>27</v>
      </c>
    </row>
    <row r="104" spans="1:18" x14ac:dyDescent="0.2">
      <c r="A104" t="s">
        <v>217</v>
      </c>
      <c r="B104" s="2">
        <v>46070</v>
      </c>
      <c r="C104" s="2" t="str">
        <f t="shared" si="16"/>
        <v>February</v>
      </c>
      <c r="D104" t="s">
        <v>107</v>
      </c>
      <c r="E104" t="s">
        <v>93</v>
      </c>
      <c r="F104" t="s">
        <v>77</v>
      </c>
      <c r="G104" t="s">
        <v>22</v>
      </c>
      <c r="H104">
        <v>3</v>
      </c>
      <c r="I104" s="3">
        <v>367.3</v>
      </c>
      <c r="J104" s="4">
        <v>0.15</v>
      </c>
      <c r="K104" t="s">
        <v>23</v>
      </c>
      <c r="L104" t="s">
        <v>64</v>
      </c>
      <c r="M104">
        <f t="shared" si="17"/>
        <v>936.61500000000001</v>
      </c>
      <c r="O104" s="6" t="str">
        <v>C082</v>
      </c>
      <c r="P104" s="6">
        <f>SUMIF($D$2:$D$501,O104,$M$2:$M$501)</f>
        <v>4089.3095000000003</v>
      </c>
      <c r="Q104" s="6">
        <f>COUNTIF($D$2:$D$501,O104)</f>
        <v>11</v>
      </c>
      <c r="R104" s="6">
        <f>SUMIF($D$2:$D$501,O104,Table4[Quantity])</f>
        <v>32</v>
      </c>
    </row>
    <row r="105" spans="1:18" x14ac:dyDescent="0.2">
      <c r="A105" t="s">
        <v>218</v>
      </c>
      <c r="B105" s="2">
        <v>46070</v>
      </c>
      <c r="C105" s="2" t="str">
        <f t="shared" si="16"/>
        <v>February</v>
      </c>
      <c r="D105" t="s">
        <v>219</v>
      </c>
      <c r="E105" t="s">
        <v>13</v>
      </c>
      <c r="F105" t="s">
        <v>14</v>
      </c>
      <c r="G105" t="s">
        <v>15</v>
      </c>
      <c r="H105">
        <v>4</v>
      </c>
      <c r="I105" s="3">
        <v>61.52</v>
      </c>
      <c r="J105" s="4">
        <v>0.05</v>
      </c>
      <c r="K105" t="s">
        <v>44</v>
      </c>
      <c r="L105" t="s">
        <v>52</v>
      </c>
      <c r="M105">
        <f t="shared" si="17"/>
        <v>233.77600000000001</v>
      </c>
      <c r="O105" s="6" t="str">
        <v>C083</v>
      </c>
      <c r="P105" s="6">
        <f>SUMIF($D$2:$D$501,O105,$M$2:$M$501)</f>
        <v>698.80899999999997</v>
      </c>
      <c r="Q105" s="6">
        <f>COUNTIF($D$2:$D$501,O105)</f>
        <v>4</v>
      </c>
      <c r="R105" s="6">
        <f>SUMIF($D$2:$D$501,O105,Table4[Quantity])</f>
        <v>12</v>
      </c>
    </row>
    <row r="106" spans="1:18" x14ac:dyDescent="0.2">
      <c r="A106" t="s">
        <v>220</v>
      </c>
      <c r="B106" s="2">
        <v>46070</v>
      </c>
      <c r="C106" s="2" t="str">
        <f t="shared" si="16"/>
        <v>February</v>
      </c>
      <c r="D106" t="s">
        <v>221</v>
      </c>
      <c r="E106" t="s">
        <v>31</v>
      </c>
      <c r="F106" t="s">
        <v>114</v>
      </c>
      <c r="G106" t="s">
        <v>43</v>
      </c>
      <c r="H106">
        <v>3</v>
      </c>
      <c r="I106" s="3">
        <v>175.97</v>
      </c>
      <c r="J106" s="4">
        <v>0</v>
      </c>
      <c r="K106" t="s">
        <v>44</v>
      </c>
      <c r="L106" t="s">
        <v>70</v>
      </c>
      <c r="M106">
        <f t="shared" si="17"/>
        <v>527.91</v>
      </c>
      <c r="O106" s="6" t="str">
        <v>C084</v>
      </c>
      <c r="P106" s="6">
        <f>SUMIF($D$2:$D$501,O106,$M$2:$M$501)</f>
        <v>3416.5104999999999</v>
      </c>
      <c r="Q106" s="6">
        <f>COUNTIF($D$2:$D$501,O106)</f>
        <v>7</v>
      </c>
      <c r="R106" s="6">
        <f>SUMIF($D$2:$D$501,O106,Table4[Quantity])</f>
        <v>18</v>
      </c>
    </row>
    <row r="107" spans="1:18" x14ac:dyDescent="0.2">
      <c r="A107" t="s">
        <v>222</v>
      </c>
      <c r="B107" s="2">
        <v>46070</v>
      </c>
      <c r="C107" s="2" t="str">
        <f t="shared" si="16"/>
        <v>February</v>
      </c>
      <c r="D107" t="s">
        <v>211</v>
      </c>
      <c r="E107" t="s">
        <v>26</v>
      </c>
      <c r="F107" t="s">
        <v>38</v>
      </c>
      <c r="G107" t="s">
        <v>15</v>
      </c>
      <c r="H107">
        <v>3</v>
      </c>
      <c r="I107" s="3">
        <v>30.66</v>
      </c>
      <c r="J107" s="4">
        <v>0</v>
      </c>
      <c r="K107" t="s">
        <v>23</v>
      </c>
      <c r="L107" t="s">
        <v>28</v>
      </c>
      <c r="M107">
        <f t="shared" si="17"/>
        <v>91.98</v>
      </c>
      <c r="O107" s="6" t="str">
        <v>C085</v>
      </c>
      <c r="P107" s="6">
        <f>SUMIF($D$2:$D$501,O107,$M$2:$M$501)</f>
        <v>521.50200000000007</v>
      </c>
      <c r="Q107" s="6">
        <f>COUNTIF($D$2:$D$501,O107)</f>
        <v>4</v>
      </c>
      <c r="R107" s="6">
        <f>SUMIF($D$2:$D$501,O107,Table4[Quantity])</f>
        <v>15</v>
      </c>
    </row>
    <row r="108" spans="1:18" x14ac:dyDescent="0.2">
      <c r="A108" t="s">
        <v>223</v>
      </c>
      <c r="B108" s="2">
        <v>46070</v>
      </c>
      <c r="C108" s="2" t="str">
        <f t="shared" si="16"/>
        <v>February</v>
      </c>
      <c r="D108" t="s">
        <v>111</v>
      </c>
      <c r="E108" t="s">
        <v>62</v>
      </c>
      <c r="F108" t="s">
        <v>63</v>
      </c>
      <c r="G108" t="s">
        <v>22</v>
      </c>
      <c r="H108">
        <v>2</v>
      </c>
      <c r="I108" s="3">
        <v>1277.1400000000001</v>
      </c>
      <c r="J108" s="4">
        <v>0.1</v>
      </c>
      <c r="K108" t="s">
        <v>55</v>
      </c>
      <c r="L108" t="s">
        <v>70</v>
      </c>
      <c r="M108">
        <f t="shared" si="17"/>
        <v>2298.8520000000003</v>
      </c>
      <c r="O108" s="6" t="str">
        <v>C086</v>
      </c>
      <c r="P108" s="6">
        <f>SUMIF($D$2:$D$501,O108,$M$2:$M$501)</f>
        <v>3222.1029999999996</v>
      </c>
      <c r="Q108" s="6">
        <f>COUNTIF($D$2:$D$501,O108)</f>
        <v>6</v>
      </c>
      <c r="R108" s="6">
        <f>SUMIF($D$2:$D$501,O108,Table4[Quantity])</f>
        <v>16</v>
      </c>
    </row>
    <row r="109" spans="1:18" x14ac:dyDescent="0.2">
      <c r="A109" t="s">
        <v>224</v>
      </c>
      <c r="B109" s="2">
        <v>46071</v>
      </c>
      <c r="C109" s="2" t="str">
        <f t="shared" si="16"/>
        <v>February</v>
      </c>
      <c r="D109" t="s">
        <v>225</v>
      </c>
      <c r="E109" t="s">
        <v>41</v>
      </c>
      <c r="F109" t="s">
        <v>77</v>
      </c>
      <c r="G109" t="s">
        <v>22</v>
      </c>
      <c r="H109">
        <v>10</v>
      </c>
      <c r="I109" s="3">
        <v>370.18</v>
      </c>
      <c r="J109" s="4">
        <v>0.1</v>
      </c>
      <c r="K109" t="s">
        <v>44</v>
      </c>
      <c r="L109" t="s">
        <v>52</v>
      </c>
      <c r="M109">
        <f t="shared" si="17"/>
        <v>3331.6200000000003</v>
      </c>
      <c r="O109" s="6" t="str">
        <v>C087</v>
      </c>
      <c r="P109" s="6">
        <f>SUMIF($D$2:$D$501,O109,$M$2:$M$501)</f>
        <v>2714.1954999999998</v>
      </c>
      <c r="Q109" s="6">
        <f>COUNTIF($D$2:$D$501,O109)</f>
        <v>3</v>
      </c>
      <c r="R109" s="6">
        <f>SUMIF($D$2:$D$501,O109,Table4[Quantity])</f>
        <v>15</v>
      </c>
    </row>
    <row r="110" spans="1:18" x14ac:dyDescent="0.2">
      <c r="A110" t="s">
        <v>226</v>
      </c>
      <c r="B110" s="2">
        <v>46071</v>
      </c>
      <c r="C110" s="2" t="str">
        <f t="shared" si="16"/>
        <v>February</v>
      </c>
      <c r="D110" t="s">
        <v>227</v>
      </c>
      <c r="E110" t="s">
        <v>51</v>
      </c>
      <c r="F110" t="s">
        <v>38</v>
      </c>
      <c r="G110" t="s">
        <v>15</v>
      </c>
      <c r="H110">
        <v>2</v>
      </c>
      <c r="I110" s="3">
        <v>28.34</v>
      </c>
      <c r="J110" s="4">
        <v>0.05</v>
      </c>
      <c r="K110" t="s">
        <v>16</v>
      </c>
      <c r="L110" t="s">
        <v>28</v>
      </c>
      <c r="M110">
        <f t="shared" si="17"/>
        <v>53.845999999999997</v>
      </c>
      <c r="O110" s="6" t="str">
        <v>C088</v>
      </c>
      <c r="P110" s="6">
        <f>SUMIF($D$2:$D$501,O110,$M$2:$M$501)</f>
        <v>4408.8359999999993</v>
      </c>
      <c r="Q110" s="6">
        <f>COUNTIF($D$2:$D$501,O110)</f>
        <v>5</v>
      </c>
      <c r="R110" s="6">
        <f>SUMIF($D$2:$D$501,O110,Table4[Quantity])</f>
        <v>21</v>
      </c>
    </row>
    <row r="111" spans="1:18" x14ac:dyDescent="0.2">
      <c r="A111" t="s">
        <v>228</v>
      </c>
      <c r="B111" s="2">
        <v>46071</v>
      </c>
      <c r="C111" s="2" t="str">
        <f t="shared" si="16"/>
        <v>February</v>
      </c>
      <c r="D111" t="s">
        <v>84</v>
      </c>
      <c r="E111" t="s">
        <v>35</v>
      </c>
      <c r="F111" t="s">
        <v>73</v>
      </c>
      <c r="G111" t="s">
        <v>43</v>
      </c>
      <c r="H111">
        <v>2</v>
      </c>
      <c r="I111" s="3">
        <v>211.55</v>
      </c>
      <c r="J111" s="4">
        <v>0.05</v>
      </c>
      <c r="K111" t="s">
        <v>55</v>
      </c>
      <c r="L111" t="s">
        <v>56</v>
      </c>
      <c r="M111">
        <f t="shared" si="17"/>
        <v>401.94499999999999</v>
      </c>
      <c r="O111" s="6" t="str">
        <v>C089</v>
      </c>
      <c r="P111" s="6">
        <f>SUMIF($D$2:$D$501,O111,$M$2:$M$501)</f>
        <v>11018.352499999999</v>
      </c>
      <c r="Q111" s="6">
        <f>COUNTIF($D$2:$D$501,O111)</f>
        <v>6</v>
      </c>
      <c r="R111" s="6">
        <f>SUMIF($D$2:$D$501,O111,Table4[Quantity])</f>
        <v>25</v>
      </c>
    </row>
    <row r="112" spans="1:18" x14ac:dyDescent="0.2">
      <c r="A112" t="s">
        <v>229</v>
      </c>
      <c r="B112" s="2">
        <v>46071</v>
      </c>
      <c r="C112" s="2" t="str">
        <f t="shared" si="16"/>
        <v>February</v>
      </c>
      <c r="D112" t="s">
        <v>230</v>
      </c>
      <c r="E112" t="s">
        <v>93</v>
      </c>
      <c r="F112" t="s">
        <v>14</v>
      </c>
      <c r="G112" t="s">
        <v>15</v>
      </c>
      <c r="H112">
        <v>2</v>
      </c>
      <c r="I112" s="3">
        <v>57.16</v>
      </c>
      <c r="J112" s="4">
        <v>0.15</v>
      </c>
      <c r="K112" t="s">
        <v>27</v>
      </c>
      <c r="L112" t="s">
        <v>28</v>
      </c>
      <c r="M112">
        <f t="shared" si="17"/>
        <v>97.171999999999997</v>
      </c>
      <c r="O112" s="6" t="str">
        <v>C090</v>
      </c>
      <c r="P112" s="6">
        <f>SUMIF($D$2:$D$501,O112,$M$2:$M$501)</f>
        <v>2225.6390000000001</v>
      </c>
      <c r="Q112" s="6">
        <f>COUNTIF($D$2:$D$501,O112)</f>
        <v>6</v>
      </c>
      <c r="R112" s="6">
        <f>SUMIF($D$2:$D$501,O112,Table4[Quantity])</f>
        <v>12</v>
      </c>
    </row>
    <row r="113" spans="1:18" x14ac:dyDescent="0.2">
      <c r="A113" t="s">
        <v>231</v>
      </c>
      <c r="B113" s="2">
        <v>46072</v>
      </c>
      <c r="C113" s="2" t="str">
        <f t="shared" si="16"/>
        <v>February</v>
      </c>
      <c r="D113" t="s">
        <v>232</v>
      </c>
      <c r="E113" t="s">
        <v>51</v>
      </c>
      <c r="F113" t="s">
        <v>73</v>
      </c>
      <c r="G113" t="s">
        <v>43</v>
      </c>
      <c r="H113">
        <v>5</v>
      </c>
      <c r="I113" s="3">
        <v>216.17</v>
      </c>
      <c r="J113" s="4">
        <v>0</v>
      </c>
      <c r="K113" t="s">
        <v>23</v>
      </c>
      <c r="L113" t="s">
        <v>52</v>
      </c>
      <c r="M113">
        <f t="shared" si="17"/>
        <v>1080.8499999999999</v>
      </c>
      <c r="O113" s="6" t="str">
        <v>C091</v>
      </c>
      <c r="P113" s="6">
        <f>SUMIF($D$2:$D$501,O113,$M$2:$M$501)</f>
        <v>1125.5430000000001</v>
      </c>
      <c r="Q113" s="6">
        <f>COUNTIF($D$2:$D$501,O113)</f>
        <v>3</v>
      </c>
      <c r="R113" s="6">
        <f>SUMIF($D$2:$D$501,O113,Table4[Quantity])</f>
        <v>7</v>
      </c>
    </row>
    <row r="114" spans="1:18" x14ac:dyDescent="0.2">
      <c r="A114" t="s">
        <v>233</v>
      </c>
      <c r="B114" s="2">
        <v>46073</v>
      </c>
      <c r="C114" s="2" t="str">
        <f t="shared" si="16"/>
        <v>February</v>
      </c>
      <c r="D114" t="s">
        <v>84</v>
      </c>
      <c r="E114" t="s">
        <v>51</v>
      </c>
      <c r="F114" t="s">
        <v>63</v>
      </c>
      <c r="G114" t="s">
        <v>22</v>
      </c>
      <c r="H114">
        <v>4</v>
      </c>
      <c r="I114" s="3">
        <v>1277.83</v>
      </c>
      <c r="J114" s="4">
        <v>0</v>
      </c>
      <c r="K114" t="s">
        <v>23</v>
      </c>
      <c r="L114" t="s">
        <v>32</v>
      </c>
      <c r="M114">
        <f t="shared" si="17"/>
        <v>5111.32</v>
      </c>
      <c r="O114" s="6" t="str">
        <v>C092</v>
      </c>
      <c r="P114" s="6">
        <f>SUMIF($D$2:$D$501,O114,$M$2:$M$501)</f>
        <v>5851.6419999999998</v>
      </c>
      <c r="Q114" s="6">
        <f>COUNTIF($D$2:$D$501,O114)</f>
        <v>7</v>
      </c>
      <c r="R114" s="6">
        <f>SUMIF($D$2:$D$501,O114,Table4[Quantity])</f>
        <v>28</v>
      </c>
    </row>
    <row r="115" spans="1:18" x14ac:dyDescent="0.2">
      <c r="A115" t="s">
        <v>234</v>
      </c>
      <c r="B115" s="2">
        <v>46075</v>
      </c>
      <c r="C115" s="2" t="str">
        <f t="shared" si="16"/>
        <v>February</v>
      </c>
      <c r="D115" t="s">
        <v>235</v>
      </c>
      <c r="E115" t="s">
        <v>41</v>
      </c>
      <c r="F115" t="s">
        <v>14</v>
      </c>
      <c r="G115" t="s">
        <v>15</v>
      </c>
      <c r="H115">
        <v>4</v>
      </c>
      <c r="I115" s="3">
        <v>61.28</v>
      </c>
      <c r="J115" s="4">
        <v>0</v>
      </c>
      <c r="K115" t="s">
        <v>16</v>
      </c>
      <c r="L115" t="s">
        <v>56</v>
      </c>
      <c r="M115">
        <f t="shared" si="17"/>
        <v>245.12</v>
      </c>
      <c r="O115" s="6" t="str">
        <v>C093</v>
      </c>
      <c r="P115" s="6">
        <f>SUMIF($D$2:$D$501,O115,$M$2:$M$501)</f>
        <v>2905.8944999999999</v>
      </c>
      <c r="Q115" s="6">
        <f>COUNTIF($D$2:$D$501,O115)</f>
        <v>5</v>
      </c>
      <c r="R115" s="6">
        <f>SUMIF($D$2:$D$501,O115,Table4[Quantity])</f>
        <v>16</v>
      </c>
    </row>
    <row r="116" spans="1:18" x14ac:dyDescent="0.2">
      <c r="A116" t="s">
        <v>236</v>
      </c>
      <c r="B116" s="2">
        <v>46075</v>
      </c>
      <c r="C116" s="2" t="str">
        <f t="shared" si="16"/>
        <v>February</v>
      </c>
      <c r="D116" t="s">
        <v>82</v>
      </c>
      <c r="E116" t="s">
        <v>31</v>
      </c>
      <c r="F116" t="s">
        <v>14</v>
      </c>
      <c r="G116" t="s">
        <v>15</v>
      </c>
      <c r="H116">
        <v>3</v>
      </c>
      <c r="I116" s="3">
        <v>60.99</v>
      </c>
      <c r="J116" s="4">
        <v>0.2</v>
      </c>
      <c r="K116" t="s">
        <v>27</v>
      </c>
      <c r="L116" t="s">
        <v>28</v>
      </c>
      <c r="M116">
        <f t="shared" si="17"/>
        <v>146.376</v>
      </c>
      <c r="O116" s="6" t="str">
        <v>C094</v>
      </c>
      <c r="P116" s="6">
        <f>SUMIF($D$2:$D$501,O116,$M$2:$M$501)</f>
        <v>1756.9135000000001</v>
      </c>
      <c r="Q116" s="6">
        <f>COUNTIF($D$2:$D$501,O116)</f>
        <v>5</v>
      </c>
      <c r="R116" s="6">
        <f>SUMIF($D$2:$D$501,O116,Table4[Quantity])</f>
        <v>12</v>
      </c>
    </row>
    <row r="117" spans="1:18" x14ac:dyDescent="0.2">
      <c r="A117" t="s">
        <v>237</v>
      </c>
      <c r="B117" s="2">
        <v>46076</v>
      </c>
      <c r="C117" s="2" t="str">
        <f t="shared" si="16"/>
        <v>February</v>
      </c>
      <c r="D117" t="s">
        <v>238</v>
      </c>
      <c r="E117" t="s">
        <v>90</v>
      </c>
      <c r="F117" t="s">
        <v>48</v>
      </c>
      <c r="G117" t="s">
        <v>15</v>
      </c>
      <c r="H117">
        <v>4</v>
      </c>
      <c r="I117" s="3">
        <v>95.07</v>
      </c>
      <c r="J117" s="4">
        <v>0.05</v>
      </c>
      <c r="K117" t="s">
        <v>44</v>
      </c>
      <c r="L117" t="s">
        <v>56</v>
      </c>
      <c r="M117">
        <f t="shared" si="17"/>
        <v>361.26599999999996</v>
      </c>
      <c r="O117" s="6" t="str">
        <v>C095</v>
      </c>
      <c r="P117" s="6">
        <f>SUMIF($D$2:$D$501,O117,$M$2:$M$501)</f>
        <v>1465.0235</v>
      </c>
      <c r="Q117" s="6">
        <f>COUNTIF($D$2:$D$501,O117)</f>
        <v>6</v>
      </c>
      <c r="R117" s="6">
        <f>SUMIF($D$2:$D$501,O117,Table4[Quantity])</f>
        <v>8</v>
      </c>
    </row>
    <row r="118" spans="1:18" x14ac:dyDescent="0.2">
      <c r="A118" t="s">
        <v>239</v>
      </c>
      <c r="B118" s="2">
        <v>46076</v>
      </c>
      <c r="C118" s="2" t="str">
        <f t="shared" si="16"/>
        <v>February</v>
      </c>
      <c r="D118" t="s">
        <v>164</v>
      </c>
      <c r="E118" t="s">
        <v>47</v>
      </c>
      <c r="F118" t="s">
        <v>38</v>
      </c>
      <c r="G118" t="s">
        <v>15</v>
      </c>
      <c r="H118">
        <v>2</v>
      </c>
      <c r="I118" s="3">
        <v>27.83</v>
      </c>
      <c r="J118" s="4">
        <v>0.05</v>
      </c>
      <c r="K118" t="s">
        <v>16</v>
      </c>
      <c r="L118" t="s">
        <v>52</v>
      </c>
      <c r="M118">
        <f t="shared" si="17"/>
        <v>52.876999999999995</v>
      </c>
      <c r="O118" s="6" t="str">
        <v>C096</v>
      </c>
      <c r="P118" s="6">
        <f>SUMIF($D$2:$D$501,O118,$M$2:$M$501)</f>
        <v>20922.433000000005</v>
      </c>
      <c r="Q118" s="6">
        <f>COUNTIF($D$2:$D$501,O118)</f>
        <v>8</v>
      </c>
      <c r="R118" s="6">
        <f>SUMIF($D$2:$D$501,O118,Table4[Quantity])</f>
        <v>40</v>
      </c>
    </row>
    <row r="119" spans="1:18" x14ac:dyDescent="0.2">
      <c r="A119" t="s">
        <v>240</v>
      </c>
      <c r="B119" s="2">
        <v>46076</v>
      </c>
      <c r="C119" s="2" t="str">
        <f t="shared" si="16"/>
        <v>February</v>
      </c>
      <c r="D119" t="s">
        <v>235</v>
      </c>
      <c r="E119" t="s">
        <v>31</v>
      </c>
      <c r="F119" t="s">
        <v>21</v>
      </c>
      <c r="G119" t="s">
        <v>22</v>
      </c>
      <c r="H119">
        <v>2</v>
      </c>
      <c r="I119" s="3">
        <v>73.510000000000005</v>
      </c>
      <c r="J119" s="4">
        <v>0.1</v>
      </c>
      <c r="K119" t="s">
        <v>16</v>
      </c>
      <c r="L119" t="s">
        <v>70</v>
      </c>
      <c r="M119">
        <f t="shared" si="17"/>
        <v>132.31800000000001</v>
      </c>
      <c r="O119" s="6" t="str">
        <v>C097</v>
      </c>
      <c r="P119" s="6">
        <f>SUMIF($D$2:$D$501,O119,$M$2:$M$501)</f>
        <v>2743.212</v>
      </c>
      <c r="Q119" s="6">
        <f>COUNTIF($D$2:$D$501,O119)</f>
        <v>4</v>
      </c>
      <c r="R119" s="6">
        <f>SUMIF($D$2:$D$501,O119,Table4[Quantity])</f>
        <v>17</v>
      </c>
    </row>
    <row r="120" spans="1:18" x14ac:dyDescent="0.2">
      <c r="A120" t="s">
        <v>241</v>
      </c>
      <c r="B120" s="2">
        <v>46076</v>
      </c>
      <c r="C120" s="2" t="str">
        <f t="shared" si="16"/>
        <v>February</v>
      </c>
      <c r="D120" t="s">
        <v>211</v>
      </c>
      <c r="E120" t="s">
        <v>67</v>
      </c>
      <c r="F120" t="s">
        <v>38</v>
      </c>
      <c r="G120" t="s">
        <v>15</v>
      </c>
      <c r="H120">
        <v>4</v>
      </c>
      <c r="I120" s="3">
        <v>31.77</v>
      </c>
      <c r="J120" s="4">
        <v>0</v>
      </c>
      <c r="K120" t="s">
        <v>27</v>
      </c>
      <c r="L120" t="s">
        <v>52</v>
      </c>
      <c r="M120">
        <f t="shared" si="17"/>
        <v>127.08</v>
      </c>
      <c r="O120" s="6" t="str">
        <v>C098</v>
      </c>
      <c r="P120" s="6">
        <f>SUMIF($D$2:$D$501,O120,$M$2:$M$501)</f>
        <v>3343.8710000000001</v>
      </c>
      <c r="Q120" s="6">
        <f>COUNTIF($D$2:$D$501,O120)</f>
        <v>7</v>
      </c>
      <c r="R120" s="6">
        <f>SUMIF($D$2:$D$501,O120,Table4[Quantity])</f>
        <v>24</v>
      </c>
    </row>
    <row r="121" spans="1:18" x14ac:dyDescent="0.2">
      <c r="A121" t="s">
        <v>242</v>
      </c>
      <c r="B121" s="2">
        <v>46076</v>
      </c>
      <c r="C121" s="2" t="str">
        <f t="shared" si="16"/>
        <v>February</v>
      </c>
      <c r="D121" t="s">
        <v>19</v>
      </c>
      <c r="E121" t="s">
        <v>35</v>
      </c>
      <c r="F121" t="s">
        <v>63</v>
      </c>
      <c r="G121" t="s">
        <v>22</v>
      </c>
      <c r="H121">
        <v>2</v>
      </c>
      <c r="I121" s="3">
        <v>1114.79</v>
      </c>
      <c r="J121" s="4">
        <v>0.05</v>
      </c>
      <c r="K121" t="s">
        <v>55</v>
      </c>
      <c r="L121" t="s">
        <v>70</v>
      </c>
      <c r="M121">
        <f t="shared" si="17"/>
        <v>2118.1009999999997</v>
      </c>
      <c r="O121" s="6" t="str">
        <v>C099</v>
      </c>
      <c r="P121" s="6">
        <f>SUMIF($D$2:$D$501,O121,$M$2:$M$501)</f>
        <v>1455.0635</v>
      </c>
      <c r="Q121" s="6">
        <f>COUNTIF($D$2:$D$501,O121)</f>
        <v>4</v>
      </c>
      <c r="R121" s="6">
        <f>SUMIF($D$2:$D$501,O121,Table4[Quantity])</f>
        <v>4</v>
      </c>
    </row>
    <row r="122" spans="1:18" x14ac:dyDescent="0.2">
      <c r="A122" t="s">
        <v>243</v>
      </c>
      <c r="B122" s="2">
        <v>46077</v>
      </c>
      <c r="C122" s="2" t="str">
        <f t="shared" si="16"/>
        <v>February</v>
      </c>
      <c r="D122" t="s">
        <v>66</v>
      </c>
      <c r="E122" t="s">
        <v>51</v>
      </c>
      <c r="F122" t="s">
        <v>14</v>
      </c>
      <c r="G122" t="s">
        <v>15</v>
      </c>
      <c r="H122">
        <v>6</v>
      </c>
      <c r="I122" s="3">
        <v>62.89</v>
      </c>
      <c r="J122" s="4">
        <v>0.05</v>
      </c>
      <c r="K122" t="s">
        <v>16</v>
      </c>
      <c r="L122" t="s">
        <v>17</v>
      </c>
      <c r="M122">
        <f t="shared" si="17"/>
        <v>358.47300000000001</v>
      </c>
      <c r="O122" s="6" t="str">
        <v>C100</v>
      </c>
      <c r="P122" s="6">
        <f>SUMIF($D$2:$D$501,O122,$M$2:$M$501)</f>
        <v>4207.6695</v>
      </c>
      <c r="Q122" s="6">
        <f>COUNTIF($D$2:$D$501,O122)</f>
        <v>5</v>
      </c>
      <c r="R122" s="6">
        <f>SUMIF($D$2:$D$501,O122,Table4[Quantity])</f>
        <v>21</v>
      </c>
    </row>
    <row r="123" spans="1:18" x14ac:dyDescent="0.2">
      <c r="A123" t="s">
        <v>244</v>
      </c>
      <c r="B123" s="2">
        <v>46077</v>
      </c>
      <c r="C123" s="2" t="str">
        <f t="shared" si="16"/>
        <v>February</v>
      </c>
      <c r="D123" t="s">
        <v>121</v>
      </c>
      <c r="E123" t="s">
        <v>41</v>
      </c>
      <c r="F123" t="s">
        <v>48</v>
      </c>
      <c r="G123" t="s">
        <v>15</v>
      </c>
      <c r="H123">
        <v>1</v>
      </c>
      <c r="I123" s="3">
        <v>91.35</v>
      </c>
      <c r="J123" s="4">
        <v>0</v>
      </c>
      <c r="K123" t="s">
        <v>55</v>
      </c>
      <c r="L123" t="s">
        <v>52</v>
      </c>
      <c r="M123">
        <f t="shared" si="17"/>
        <v>91.35</v>
      </c>
    </row>
    <row r="124" spans="1:18" x14ac:dyDescent="0.2">
      <c r="A124" t="s">
        <v>245</v>
      </c>
      <c r="B124" s="2">
        <v>46077</v>
      </c>
      <c r="C124" s="2" t="str">
        <f t="shared" si="16"/>
        <v>February</v>
      </c>
      <c r="D124" t="s">
        <v>195</v>
      </c>
      <c r="E124" t="s">
        <v>13</v>
      </c>
      <c r="F124" t="s">
        <v>63</v>
      </c>
      <c r="G124" t="s">
        <v>22</v>
      </c>
      <c r="H124">
        <v>5</v>
      </c>
      <c r="I124" s="3">
        <v>1145.48</v>
      </c>
      <c r="J124" s="4">
        <v>0.1</v>
      </c>
      <c r="K124" t="s">
        <v>55</v>
      </c>
      <c r="L124" t="s">
        <v>28</v>
      </c>
      <c r="M124">
        <f t="shared" si="17"/>
        <v>5154.66</v>
      </c>
    </row>
    <row r="125" spans="1:18" x14ac:dyDescent="0.2">
      <c r="A125" t="s">
        <v>246</v>
      </c>
      <c r="B125" s="2">
        <v>46078</v>
      </c>
      <c r="C125" s="2" t="str">
        <f t="shared" si="16"/>
        <v>February</v>
      </c>
      <c r="D125" t="s">
        <v>247</v>
      </c>
      <c r="E125" t="s">
        <v>47</v>
      </c>
      <c r="F125" t="s">
        <v>38</v>
      </c>
      <c r="G125" t="s">
        <v>15</v>
      </c>
      <c r="H125">
        <v>2</v>
      </c>
      <c r="I125" s="3">
        <v>27.78</v>
      </c>
      <c r="J125" s="4">
        <v>0.1</v>
      </c>
      <c r="K125" t="s">
        <v>44</v>
      </c>
      <c r="L125" t="s">
        <v>70</v>
      </c>
      <c r="M125">
        <f t="shared" si="17"/>
        <v>50.004000000000005</v>
      </c>
    </row>
    <row r="126" spans="1:18" x14ac:dyDescent="0.2">
      <c r="A126" t="s">
        <v>248</v>
      </c>
      <c r="B126" s="2">
        <v>46078</v>
      </c>
      <c r="C126" s="2" t="str">
        <f t="shared" si="16"/>
        <v>February</v>
      </c>
      <c r="D126" t="s">
        <v>249</v>
      </c>
      <c r="E126" t="s">
        <v>13</v>
      </c>
      <c r="F126" t="s">
        <v>38</v>
      </c>
      <c r="G126" t="s">
        <v>15</v>
      </c>
      <c r="H126">
        <v>2</v>
      </c>
      <c r="I126" s="3">
        <v>29.07</v>
      </c>
      <c r="J126" s="4">
        <v>0</v>
      </c>
      <c r="K126" t="s">
        <v>23</v>
      </c>
      <c r="L126" t="s">
        <v>52</v>
      </c>
      <c r="M126">
        <f t="shared" si="17"/>
        <v>58.14</v>
      </c>
    </row>
    <row r="127" spans="1:18" x14ac:dyDescent="0.2">
      <c r="A127" t="s">
        <v>250</v>
      </c>
      <c r="B127" s="2">
        <v>46079</v>
      </c>
      <c r="C127" s="2" t="str">
        <f t="shared" si="16"/>
        <v>February</v>
      </c>
      <c r="D127" t="s">
        <v>173</v>
      </c>
      <c r="E127" t="s">
        <v>35</v>
      </c>
      <c r="F127" t="s">
        <v>42</v>
      </c>
      <c r="G127" t="s">
        <v>43</v>
      </c>
      <c r="H127">
        <v>1</v>
      </c>
      <c r="I127" s="3">
        <v>273.52999999999997</v>
      </c>
      <c r="J127" s="4">
        <v>0.05</v>
      </c>
      <c r="K127" t="s">
        <v>27</v>
      </c>
      <c r="L127" t="s">
        <v>70</v>
      </c>
      <c r="M127">
        <f t="shared" si="17"/>
        <v>259.85349999999994</v>
      </c>
    </row>
    <row r="128" spans="1:18" x14ac:dyDescent="0.2">
      <c r="A128" t="s">
        <v>251</v>
      </c>
      <c r="B128" s="2">
        <v>46080</v>
      </c>
      <c r="C128" s="2" t="str">
        <f t="shared" si="16"/>
        <v>February</v>
      </c>
      <c r="D128" t="s">
        <v>219</v>
      </c>
      <c r="E128" t="s">
        <v>20</v>
      </c>
      <c r="F128" t="s">
        <v>77</v>
      </c>
      <c r="G128" t="s">
        <v>22</v>
      </c>
      <c r="H128">
        <v>2</v>
      </c>
      <c r="I128" s="3">
        <v>348.24</v>
      </c>
      <c r="J128" s="4">
        <v>0</v>
      </c>
      <c r="K128" t="s">
        <v>16</v>
      </c>
      <c r="L128" t="s">
        <v>70</v>
      </c>
      <c r="M128">
        <f t="shared" si="17"/>
        <v>696.48</v>
      </c>
    </row>
    <row r="129" spans="1:13" x14ac:dyDescent="0.2">
      <c r="A129" t="s">
        <v>252</v>
      </c>
      <c r="B129" s="2">
        <v>46080</v>
      </c>
      <c r="C129" s="2" t="str">
        <f t="shared" si="16"/>
        <v>February</v>
      </c>
      <c r="D129" t="s">
        <v>221</v>
      </c>
      <c r="E129" t="s">
        <v>41</v>
      </c>
      <c r="F129" t="s">
        <v>21</v>
      </c>
      <c r="G129" t="s">
        <v>22</v>
      </c>
      <c r="H129">
        <v>5</v>
      </c>
      <c r="I129" s="3">
        <v>74.41</v>
      </c>
      <c r="J129" s="4">
        <v>0</v>
      </c>
      <c r="K129" t="s">
        <v>27</v>
      </c>
      <c r="L129" t="s">
        <v>70</v>
      </c>
      <c r="M129">
        <f t="shared" si="17"/>
        <v>372.04999999999995</v>
      </c>
    </row>
    <row r="130" spans="1:13" x14ac:dyDescent="0.2">
      <c r="A130" t="s">
        <v>253</v>
      </c>
      <c r="B130" s="2">
        <v>46080</v>
      </c>
      <c r="C130" s="2" t="str">
        <f t="shared" si="16"/>
        <v>February</v>
      </c>
      <c r="D130" t="s">
        <v>151</v>
      </c>
      <c r="E130" t="s">
        <v>67</v>
      </c>
      <c r="F130" t="s">
        <v>21</v>
      </c>
      <c r="G130" t="s">
        <v>22</v>
      </c>
      <c r="H130">
        <v>1</v>
      </c>
      <c r="I130" s="3">
        <v>73.94</v>
      </c>
      <c r="J130" s="4">
        <v>0.1</v>
      </c>
      <c r="K130" t="s">
        <v>23</v>
      </c>
      <c r="L130" t="s">
        <v>17</v>
      </c>
      <c r="M130">
        <f t="shared" si="17"/>
        <v>66.546000000000006</v>
      </c>
    </row>
    <row r="131" spans="1:13" x14ac:dyDescent="0.2">
      <c r="A131" t="s">
        <v>254</v>
      </c>
      <c r="B131" s="2">
        <v>46081</v>
      </c>
      <c r="C131" s="2" t="str">
        <f t="shared" ref="C131:C194" si="18">TEXT(B131,"mmmm")</f>
        <v>February</v>
      </c>
      <c r="D131" t="s">
        <v>40</v>
      </c>
      <c r="E131" t="s">
        <v>59</v>
      </c>
      <c r="F131" t="s">
        <v>114</v>
      </c>
      <c r="G131" t="s">
        <v>43</v>
      </c>
      <c r="H131">
        <v>2</v>
      </c>
      <c r="I131" s="3">
        <v>180.91</v>
      </c>
      <c r="J131" s="4">
        <v>0.1</v>
      </c>
      <c r="K131" t="s">
        <v>27</v>
      </c>
      <c r="L131" t="s">
        <v>70</v>
      </c>
      <c r="M131">
        <f t="shared" ref="M131:M194" si="19">I131*H131*(1-J131)</f>
        <v>325.63799999999998</v>
      </c>
    </row>
    <row r="132" spans="1:13" x14ac:dyDescent="0.2">
      <c r="A132" t="s">
        <v>255</v>
      </c>
      <c r="B132" s="2">
        <v>46081</v>
      </c>
      <c r="C132" s="2" t="str">
        <f t="shared" si="18"/>
        <v>February</v>
      </c>
      <c r="D132" t="s">
        <v>37</v>
      </c>
      <c r="E132" t="s">
        <v>62</v>
      </c>
      <c r="F132" t="s">
        <v>38</v>
      </c>
      <c r="G132" t="s">
        <v>15</v>
      </c>
      <c r="H132">
        <v>4</v>
      </c>
      <c r="I132" s="3">
        <v>28.57</v>
      </c>
      <c r="J132" s="4">
        <v>0</v>
      </c>
      <c r="K132" t="s">
        <v>16</v>
      </c>
      <c r="L132" t="s">
        <v>32</v>
      </c>
      <c r="M132">
        <f t="shared" si="19"/>
        <v>114.28</v>
      </c>
    </row>
    <row r="133" spans="1:13" x14ac:dyDescent="0.2">
      <c r="A133" t="s">
        <v>256</v>
      </c>
      <c r="B133" s="2">
        <v>46082</v>
      </c>
      <c r="C133" s="2" t="str">
        <f t="shared" si="18"/>
        <v>March</v>
      </c>
      <c r="D133" t="s">
        <v>257</v>
      </c>
      <c r="E133" t="s">
        <v>31</v>
      </c>
      <c r="F133" t="s">
        <v>42</v>
      </c>
      <c r="G133" t="s">
        <v>43</v>
      </c>
      <c r="H133">
        <v>3</v>
      </c>
      <c r="I133" s="3">
        <v>281.94</v>
      </c>
      <c r="J133" s="4">
        <v>0.05</v>
      </c>
      <c r="K133" t="s">
        <v>27</v>
      </c>
      <c r="L133" t="s">
        <v>74</v>
      </c>
      <c r="M133">
        <f t="shared" si="19"/>
        <v>803.52899999999988</v>
      </c>
    </row>
    <row r="134" spans="1:13" x14ac:dyDescent="0.2">
      <c r="A134" t="s">
        <v>258</v>
      </c>
      <c r="B134" s="2">
        <v>46082</v>
      </c>
      <c r="C134" s="2" t="str">
        <f t="shared" si="18"/>
        <v>March</v>
      </c>
      <c r="D134" t="s">
        <v>82</v>
      </c>
      <c r="E134" t="s">
        <v>93</v>
      </c>
      <c r="F134" t="s">
        <v>73</v>
      </c>
      <c r="G134" t="s">
        <v>43</v>
      </c>
      <c r="H134">
        <v>3</v>
      </c>
      <c r="I134" s="3">
        <v>211.9</v>
      </c>
      <c r="J134" s="4">
        <v>0.1</v>
      </c>
      <c r="K134" t="s">
        <v>44</v>
      </c>
      <c r="L134" t="s">
        <v>28</v>
      </c>
      <c r="M134">
        <f t="shared" si="19"/>
        <v>572.13000000000011</v>
      </c>
    </row>
    <row r="135" spans="1:13" x14ac:dyDescent="0.2">
      <c r="A135" t="s">
        <v>259</v>
      </c>
      <c r="B135" s="2">
        <v>46083</v>
      </c>
      <c r="C135" s="2" t="str">
        <f t="shared" si="18"/>
        <v>March</v>
      </c>
      <c r="D135" t="s">
        <v>118</v>
      </c>
      <c r="E135" t="s">
        <v>67</v>
      </c>
      <c r="F135" t="s">
        <v>14</v>
      </c>
      <c r="G135" t="s">
        <v>15</v>
      </c>
      <c r="H135">
        <v>2</v>
      </c>
      <c r="I135" s="3">
        <v>55.23</v>
      </c>
      <c r="J135" s="4">
        <v>0.15</v>
      </c>
      <c r="K135" t="s">
        <v>23</v>
      </c>
      <c r="L135" t="s">
        <v>32</v>
      </c>
      <c r="M135">
        <f t="shared" si="19"/>
        <v>93.890999999999991</v>
      </c>
    </row>
    <row r="136" spans="1:13" x14ac:dyDescent="0.2">
      <c r="A136" t="s">
        <v>260</v>
      </c>
      <c r="B136" s="2">
        <v>46083</v>
      </c>
      <c r="C136" s="2" t="str">
        <f t="shared" si="18"/>
        <v>March</v>
      </c>
      <c r="D136" t="s">
        <v>107</v>
      </c>
      <c r="E136" t="s">
        <v>59</v>
      </c>
      <c r="F136" t="s">
        <v>63</v>
      </c>
      <c r="G136" t="s">
        <v>22</v>
      </c>
      <c r="H136">
        <v>8</v>
      </c>
      <c r="I136" s="3">
        <v>1199.18</v>
      </c>
      <c r="J136" s="4">
        <v>0.05</v>
      </c>
      <c r="K136" t="s">
        <v>23</v>
      </c>
      <c r="L136" t="s">
        <v>56</v>
      </c>
      <c r="M136">
        <f t="shared" si="19"/>
        <v>9113.768</v>
      </c>
    </row>
    <row r="137" spans="1:13" x14ac:dyDescent="0.2">
      <c r="A137" t="s">
        <v>261</v>
      </c>
      <c r="B137" s="2">
        <v>46083</v>
      </c>
      <c r="C137" s="2" t="str">
        <f t="shared" si="18"/>
        <v>March</v>
      </c>
      <c r="D137" t="s">
        <v>155</v>
      </c>
      <c r="E137" t="s">
        <v>31</v>
      </c>
      <c r="F137" t="s">
        <v>42</v>
      </c>
      <c r="G137" t="s">
        <v>43</v>
      </c>
      <c r="H137">
        <v>2</v>
      </c>
      <c r="I137" s="3">
        <v>293.64</v>
      </c>
      <c r="J137" s="4">
        <v>0</v>
      </c>
      <c r="K137" t="s">
        <v>55</v>
      </c>
      <c r="L137" t="s">
        <v>17</v>
      </c>
      <c r="M137">
        <f t="shared" si="19"/>
        <v>587.28</v>
      </c>
    </row>
    <row r="138" spans="1:13" x14ac:dyDescent="0.2">
      <c r="A138" t="s">
        <v>262</v>
      </c>
      <c r="B138" s="2">
        <v>46084</v>
      </c>
      <c r="C138" s="2" t="str">
        <f t="shared" si="18"/>
        <v>March</v>
      </c>
      <c r="D138" t="s">
        <v>263</v>
      </c>
      <c r="E138" t="s">
        <v>93</v>
      </c>
      <c r="F138" t="s">
        <v>38</v>
      </c>
      <c r="G138" t="s">
        <v>15</v>
      </c>
      <c r="H138">
        <v>2</v>
      </c>
      <c r="I138" s="3">
        <v>30.16</v>
      </c>
      <c r="J138" s="4">
        <v>0</v>
      </c>
      <c r="K138" t="s">
        <v>44</v>
      </c>
      <c r="L138" t="s">
        <v>64</v>
      </c>
      <c r="M138">
        <f t="shared" si="19"/>
        <v>60.32</v>
      </c>
    </row>
    <row r="139" spans="1:13" x14ac:dyDescent="0.2">
      <c r="A139" t="s">
        <v>264</v>
      </c>
      <c r="B139" s="2">
        <v>46084</v>
      </c>
      <c r="C139" s="2" t="str">
        <f t="shared" si="18"/>
        <v>March</v>
      </c>
      <c r="D139" t="s">
        <v>61</v>
      </c>
      <c r="E139" t="s">
        <v>90</v>
      </c>
      <c r="F139" t="s">
        <v>77</v>
      </c>
      <c r="G139" t="s">
        <v>22</v>
      </c>
      <c r="H139">
        <v>2</v>
      </c>
      <c r="I139" s="3">
        <v>354.03</v>
      </c>
      <c r="J139" s="4">
        <v>0.1</v>
      </c>
      <c r="K139" t="s">
        <v>27</v>
      </c>
      <c r="L139" t="s">
        <v>56</v>
      </c>
      <c r="M139">
        <f t="shared" si="19"/>
        <v>637.25400000000002</v>
      </c>
    </row>
    <row r="140" spans="1:13" x14ac:dyDescent="0.2">
      <c r="A140" t="s">
        <v>265</v>
      </c>
      <c r="B140" s="2">
        <v>46084</v>
      </c>
      <c r="C140" s="2" t="str">
        <f t="shared" si="18"/>
        <v>March</v>
      </c>
      <c r="D140" t="s">
        <v>266</v>
      </c>
      <c r="E140" t="s">
        <v>13</v>
      </c>
      <c r="F140" t="s">
        <v>48</v>
      </c>
      <c r="G140" t="s">
        <v>15</v>
      </c>
      <c r="H140">
        <v>1</v>
      </c>
      <c r="I140" s="3">
        <v>84.43</v>
      </c>
      <c r="J140" s="4">
        <v>0.2</v>
      </c>
      <c r="K140" t="s">
        <v>23</v>
      </c>
      <c r="L140" t="s">
        <v>64</v>
      </c>
      <c r="M140">
        <f t="shared" si="19"/>
        <v>67.544000000000011</v>
      </c>
    </row>
    <row r="141" spans="1:13" x14ac:dyDescent="0.2">
      <c r="A141" t="s">
        <v>267</v>
      </c>
      <c r="B141" s="2">
        <v>46085</v>
      </c>
      <c r="C141" s="2" t="str">
        <f t="shared" si="18"/>
        <v>March</v>
      </c>
      <c r="D141" t="s">
        <v>268</v>
      </c>
      <c r="E141" t="s">
        <v>67</v>
      </c>
      <c r="F141" t="s">
        <v>42</v>
      </c>
      <c r="G141" t="s">
        <v>43</v>
      </c>
      <c r="H141">
        <v>2</v>
      </c>
      <c r="I141" s="3">
        <v>259</v>
      </c>
      <c r="J141" s="4">
        <v>0</v>
      </c>
      <c r="K141" t="s">
        <v>16</v>
      </c>
      <c r="L141" t="s">
        <v>74</v>
      </c>
      <c r="M141">
        <f t="shared" si="19"/>
        <v>518</v>
      </c>
    </row>
    <row r="142" spans="1:13" x14ac:dyDescent="0.2">
      <c r="A142" t="s">
        <v>269</v>
      </c>
      <c r="B142" s="2">
        <v>46086</v>
      </c>
      <c r="C142" s="2" t="str">
        <f t="shared" si="18"/>
        <v>March</v>
      </c>
      <c r="D142" t="s">
        <v>143</v>
      </c>
      <c r="E142" t="s">
        <v>62</v>
      </c>
      <c r="F142" t="s">
        <v>38</v>
      </c>
      <c r="G142" t="s">
        <v>15</v>
      </c>
      <c r="H142">
        <v>4</v>
      </c>
      <c r="I142" s="3">
        <v>28.09</v>
      </c>
      <c r="J142" s="4">
        <v>0.05</v>
      </c>
      <c r="K142" t="s">
        <v>23</v>
      </c>
      <c r="L142" t="s">
        <v>17</v>
      </c>
      <c r="M142">
        <f t="shared" si="19"/>
        <v>106.74199999999999</v>
      </c>
    </row>
    <row r="143" spans="1:13" x14ac:dyDescent="0.2">
      <c r="A143" t="s">
        <v>270</v>
      </c>
      <c r="B143" s="2">
        <v>46086</v>
      </c>
      <c r="C143" s="2" t="str">
        <f t="shared" si="18"/>
        <v>March</v>
      </c>
      <c r="D143" t="s">
        <v>107</v>
      </c>
      <c r="E143" t="s">
        <v>20</v>
      </c>
      <c r="F143" t="s">
        <v>73</v>
      </c>
      <c r="G143" t="s">
        <v>43</v>
      </c>
      <c r="H143">
        <v>2</v>
      </c>
      <c r="I143" s="3">
        <v>235.5</v>
      </c>
      <c r="J143" s="4">
        <v>0</v>
      </c>
      <c r="K143" t="s">
        <v>44</v>
      </c>
      <c r="L143" t="s">
        <v>56</v>
      </c>
      <c r="M143">
        <f t="shared" si="19"/>
        <v>471</v>
      </c>
    </row>
    <row r="144" spans="1:13" x14ac:dyDescent="0.2">
      <c r="A144" t="s">
        <v>271</v>
      </c>
      <c r="B144" s="2">
        <v>46087</v>
      </c>
      <c r="C144" s="2" t="str">
        <f t="shared" si="18"/>
        <v>March</v>
      </c>
      <c r="D144" t="s">
        <v>109</v>
      </c>
      <c r="E144" t="s">
        <v>13</v>
      </c>
      <c r="F144" t="s">
        <v>85</v>
      </c>
      <c r="G144" t="s">
        <v>22</v>
      </c>
      <c r="H144">
        <v>1</v>
      </c>
      <c r="I144" s="3">
        <v>497.45</v>
      </c>
      <c r="J144" s="4">
        <v>0.05</v>
      </c>
      <c r="K144" t="s">
        <v>55</v>
      </c>
      <c r="L144" t="s">
        <v>32</v>
      </c>
      <c r="M144">
        <f t="shared" si="19"/>
        <v>472.57749999999999</v>
      </c>
    </row>
    <row r="145" spans="1:13" x14ac:dyDescent="0.2">
      <c r="A145" t="s">
        <v>272</v>
      </c>
      <c r="B145" s="2">
        <v>46088</v>
      </c>
      <c r="C145" s="2" t="str">
        <f t="shared" si="18"/>
        <v>March</v>
      </c>
      <c r="D145" t="s">
        <v>266</v>
      </c>
      <c r="E145" t="s">
        <v>80</v>
      </c>
      <c r="F145" t="s">
        <v>14</v>
      </c>
      <c r="G145" t="s">
        <v>15</v>
      </c>
      <c r="H145">
        <v>4</v>
      </c>
      <c r="I145" s="3">
        <v>61.1</v>
      </c>
      <c r="J145" s="4">
        <v>0.1</v>
      </c>
      <c r="K145" t="s">
        <v>27</v>
      </c>
      <c r="L145" t="s">
        <v>52</v>
      </c>
      <c r="M145">
        <f t="shared" si="19"/>
        <v>219.96</v>
      </c>
    </row>
    <row r="146" spans="1:13" x14ac:dyDescent="0.2">
      <c r="A146" t="s">
        <v>273</v>
      </c>
      <c r="B146" s="2">
        <v>46089</v>
      </c>
      <c r="C146" s="2" t="str">
        <f t="shared" si="18"/>
        <v>March</v>
      </c>
      <c r="D146" t="s">
        <v>249</v>
      </c>
      <c r="E146" t="s">
        <v>47</v>
      </c>
      <c r="F146" t="s">
        <v>85</v>
      </c>
      <c r="G146" t="s">
        <v>22</v>
      </c>
      <c r="H146">
        <v>1</v>
      </c>
      <c r="I146" s="3">
        <v>463.43</v>
      </c>
      <c r="J146" s="4">
        <v>0.15</v>
      </c>
      <c r="K146" t="s">
        <v>44</v>
      </c>
      <c r="L146" t="s">
        <v>70</v>
      </c>
      <c r="M146">
        <f t="shared" si="19"/>
        <v>393.91550000000001</v>
      </c>
    </row>
    <row r="147" spans="1:13" x14ac:dyDescent="0.2">
      <c r="A147" t="s">
        <v>274</v>
      </c>
      <c r="B147" s="2">
        <v>46090</v>
      </c>
      <c r="C147" s="2" t="str">
        <f t="shared" si="18"/>
        <v>March</v>
      </c>
      <c r="D147" t="s">
        <v>105</v>
      </c>
      <c r="E147" t="s">
        <v>67</v>
      </c>
      <c r="F147" t="s">
        <v>42</v>
      </c>
      <c r="G147" t="s">
        <v>43</v>
      </c>
      <c r="H147">
        <v>1</v>
      </c>
      <c r="I147" s="3">
        <v>294.27999999999997</v>
      </c>
      <c r="J147" s="4">
        <v>0</v>
      </c>
      <c r="K147" t="s">
        <v>23</v>
      </c>
      <c r="L147" t="s">
        <v>17</v>
      </c>
      <c r="M147">
        <f t="shared" si="19"/>
        <v>294.27999999999997</v>
      </c>
    </row>
    <row r="148" spans="1:13" x14ac:dyDescent="0.2">
      <c r="A148" t="s">
        <v>275</v>
      </c>
      <c r="B148" s="2">
        <v>46092</v>
      </c>
      <c r="C148" s="2" t="str">
        <f t="shared" si="18"/>
        <v>March</v>
      </c>
      <c r="D148" t="s">
        <v>232</v>
      </c>
      <c r="E148" t="s">
        <v>90</v>
      </c>
      <c r="F148" t="s">
        <v>38</v>
      </c>
      <c r="G148" t="s">
        <v>15</v>
      </c>
      <c r="H148">
        <v>8</v>
      </c>
      <c r="I148" s="3">
        <v>28.68</v>
      </c>
      <c r="J148" s="4">
        <v>0</v>
      </c>
      <c r="K148" t="s">
        <v>44</v>
      </c>
      <c r="L148" t="s">
        <v>28</v>
      </c>
      <c r="M148">
        <f t="shared" si="19"/>
        <v>229.44</v>
      </c>
    </row>
    <row r="149" spans="1:13" x14ac:dyDescent="0.2">
      <c r="A149" t="s">
        <v>276</v>
      </c>
      <c r="B149" s="2">
        <v>46093</v>
      </c>
      <c r="C149" s="2" t="str">
        <f t="shared" si="18"/>
        <v>March</v>
      </c>
      <c r="D149" t="s">
        <v>46</v>
      </c>
      <c r="E149" t="s">
        <v>62</v>
      </c>
      <c r="F149" t="s">
        <v>48</v>
      </c>
      <c r="G149" t="s">
        <v>15</v>
      </c>
      <c r="H149">
        <v>1</v>
      </c>
      <c r="I149" s="3">
        <v>83.87</v>
      </c>
      <c r="J149" s="4">
        <v>0.1</v>
      </c>
      <c r="K149" t="s">
        <v>27</v>
      </c>
      <c r="L149" t="s">
        <v>52</v>
      </c>
      <c r="M149">
        <f t="shared" si="19"/>
        <v>75.483000000000004</v>
      </c>
    </row>
    <row r="150" spans="1:13" x14ac:dyDescent="0.2">
      <c r="A150" t="s">
        <v>277</v>
      </c>
      <c r="B150" s="2">
        <v>46093</v>
      </c>
      <c r="C150" s="2" t="str">
        <f t="shared" si="18"/>
        <v>March</v>
      </c>
      <c r="D150" t="s">
        <v>147</v>
      </c>
      <c r="E150" t="s">
        <v>119</v>
      </c>
      <c r="F150" t="s">
        <v>21</v>
      </c>
      <c r="G150" t="s">
        <v>22</v>
      </c>
      <c r="H150">
        <v>4</v>
      </c>
      <c r="I150" s="3">
        <v>69.22</v>
      </c>
      <c r="J150" s="4">
        <v>0.1</v>
      </c>
      <c r="K150" t="s">
        <v>27</v>
      </c>
      <c r="L150" t="s">
        <v>32</v>
      </c>
      <c r="M150">
        <f t="shared" si="19"/>
        <v>249.19200000000001</v>
      </c>
    </row>
    <row r="151" spans="1:13" x14ac:dyDescent="0.2">
      <c r="A151" t="s">
        <v>278</v>
      </c>
      <c r="B151" s="2">
        <v>46094</v>
      </c>
      <c r="C151" s="2" t="str">
        <f t="shared" si="18"/>
        <v>March</v>
      </c>
      <c r="D151" t="s">
        <v>61</v>
      </c>
      <c r="E151" t="s">
        <v>31</v>
      </c>
      <c r="F151" t="s">
        <v>63</v>
      </c>
      <c r="G151" t="s">
        <v>22</v>
      </c>
      <c r="H151">
        <v>1</v>
      </c>
      <c r="I151" s="3">
        <v>1233</v>
      </c>
      <c r="J151" s="4">
        <v>0</v>
      </c>
      <c r="K151" t="s">
        <v>16</v>
      </c>
      <c r="L151" t="s">
        <v>32</v>
      </c>
      <c r="M151">
        <f t="shared" si="19"/>
        <v>1233</v>
      </c>
    </row>
    <row r="152" spans="1:13" x14ac:dyDescent="0.2">
      <c r="A152" t="s">
        <v>279</v>
      </c>
      <c r="B152" s="2">
        <v>46095</v>
      </c>
      <c r="C152" s="2" t="str">
        <f t="shared" si="18"/>
        <v>March</v>
      </c>
      <c r="D152" t="s">
        <v>40</v>
      </c>
      <c r="E152" t="s">
        <v>51</v>
      </c>
      <c r="F152" t="s">
        <v>85</v>
      </c>
      <c r="G152" t="s">
        <v>22</v>
      </c>
      <c r="H152">
        <v>2</v>
      </c>
      <c r="I152" s="3">
        <v>514.41999999999996</v>
      </c>
      <c r="J152" s="4">
        <v>0.1</v>
      </c>
      <c r="K152" t="s">
        <v>55</v>
      </c>
      <c r="L152" t="s">
        <v>56</v>
      </c>
      <c r="M152">
        <f t="shared" si="19"/>
        <v>925.9559999999999</v>
      </c>
    </row>
    <row r="153" spans="1:13" x14ac:dyDescent="0.2">
      <c r="A153" t="s">
        <v>280</v>
      </c>
      <c r="B153" s="2">
        <v>46095</v>
      </c>
      <c r="C153" s="2" t="str">
        <f t="shared" si="18"/>
        <v>March</v>
      </c>
      <c r="D153" t="s">
        <v>12</v>
      </c>
      <c r="E153" t="s">
        <v>93</v>
      </c>
      <c r="F153" t="s">
        <v>14</v>
      </c>
      <c r="G153" t="s">
        <v>15</v>
      </c>
      <c r="H153">
        <v>1</v>
      </c>
      <c r="I153" s="3">
        <v>64.680000000000007</v>
      </c>
      <c r="J153" s="4">
        <v>0</v>
      </c>
      <c r="K153" t="s">
        <v>27</v>
      </c>
      <c r="L153" t="s">
        <v>17</v>
      </c>
      <c r="M153">
        <f t="shared" si="19"/>
        <v>64.680000000000007</v>
      </c>
    </row>
    <row r="154" spans="1:13" x14ac:dyDescent="0.2">
      <c r="A154" t="s">
        <v>281</v>
      </c>
      <c r="B154" s="2">
        <v>46095</v>
      </c>
      <c r="C154" s="2" t="str">
        <f t="shared" si="18"/>
        <v>March</v>
      </c>
      <c r="D154" t="s">
        <v>58</v>
      </c>
      <c r="E154" t="s">
        <v>67</v>
      </c>
      <c r="F154" t="s">
        <v>73</v>
      </c>
      <c r="G154" t="s">
        <v>43</v>
      </c>
      <c r="H154">
        <v>4</v>
      </c>
      <c r="I154" s="3">
        <v>222.24</v>
      </c>
      <c r="J154" s="4">
        <v>0</v>
      </c>
      <c r="K154" t="s">
        <v>27</v>
      </c>
      <c r="L154" t="s">
        <v>32</v>
      </c>
      <c r="M154">
        <f t="shared" si="19"/>
        <v>888.96</v>
      </c>
    </row>
    <row r="155" spans="1:13" x14ac:dyDescent="0.2">
      <c r="A155" t="s">
        <v>282</v>
      </c>
      <c r="B155" s="2">
        <v>46096</v>
      </c>
      <c r="C155" s="2" t="str">
        <f t="shared" si="18"/>
        <v>March</v>
      </c>
      <c r="D155" t="s">
        <v>30</v>
      </c>
      <c r="E155" t="s">
        <v>20</v>
      </c>
      <c r="F155" t="s">
        <v>21</v>
      </c>
      <c r="G155" t="s">
        <v>22</v>
      </c>
      <c r="H155">
        <v>2</v>
      </c>
      <c r="I155" s="3">
        <v>70.72</v>
      </c>
      <c r="J155" s="4">
        <v>0</v>
      </c>
      <c r="K155" t="s">
        <v>27</v>
      </c>
      <c r="L155" t="s">
        <v>74</v>
      </c>
      <c r="M155">
        <f t="shared" si="19"/>
        <v>141.44</v>
      </c>
    </row>
    <row r="156" spans="1:13" x14ac:dyDescent="0.2">
      <c r="A156" t="s">
        <v>283</v>
      </c>
      <c r="B156" s="2">
        <v>46096</v>
      </c>
      <c r="C156" s="2" t="str">
        <f t="shared" si="18"/>
        <v>March</v>
      </c>
      <c r="D156" t="s">
        <v>195</v>
      </c>
      <c r="E156" t="s">
        <v>62</v>
      </c>
      <c r="F156" t="s">
        <v>42</v>
      </c>
      <c r="G156" t="s">
        <v>43</v>
      </c>
      <c r="H156">
        <v>2</v>
      </c>
      <c r="I156" s="3">
        <v>298.60000000000002</v>
      </c>
      <c r="J156" s="4">
        <v>0.1</v>
      </c>
      <c r="K156" t="s">
        <v>55</v>
      </c>
      <c r="L156" t="s">
        <v>17</v>
      </c>
      <c r="M156">
        <f t="shared" si="19"/>
        <v>537.48</v>
      </c>
    </row>
    <row r="157" spans="1:13" x14ac:dyDescent="0.2">
      <c r="A157" t="s">
        <v>284</v>
      </c>
      <c r="B157" s="2">
        <v>46096</v>
      </c>
      <c r="C157" s="2" t="str">
        <f t="shared" si="18"/>
        <v>March</v>
      </c>
      <c r="D157" t="s">
        <v>116</v>
      </c>
      <c r="E157" t="s">
        <v>47</v>
      </c>
      <c r="F157" t="s">
        <v>38</v>
      </c>
      <c r="G157" t="s">
        <v>15</v>
      </c>
      <c r="H157">
        <v>1</v>
      </c>
      <c r="I157" s="3">
        <v>28.64</v>
      </c>
      <c r="J157" s="4">
        <v>0.05</v>
      </c>
      <c r="K157" t="s">
        <v>16</v>
      </c>
      <c r="L157" t="s">
        <v>70</v>
      </c>
      <c r="M157">
        <f t="shared" si="19"/>
        <v>27.207999999999998</v>
      </c>
    </row>
    <row r="158" spans="1:13" x14ac:dyDescent="0.2">
      <c r="A158" t="s">
        <v>285</v>
      </c>
      <c r="B158" s="2">
        <v>46099</v>
      </c>
      <c r="C158" s="2" t="str">
        <f t="shared" si="18"/>
        <v>March</v>
      </c>
      <c r="D158" t="s">
        <v>286</v>
      </c>
      <c r="E158" t="s">
        <v>93</v>
      </c>
      <c r="F158" t="s">
        <v>114</v>
      </c>
      <c r="G158" t="s">
        <v>43</v>
      </c>
      <c r="H158">
        <v>1</v>
      </c>
      <c r="I158" s="3">
        <v>192.44</v>
      </c>
      <c r="J158" s="4">
        <v>0.05</v>
      </c>
      <c r="K158" t="s">
        <v>23</v>
      </c>
      <c r="L158" t="s">
        <v>17</v>
      </c>
      <c r="M158">
        <f t="shared" si="19"/>
        <v>182.81799999999998</v>
      </c>
    </row>
    <row r="159" spans="1:13" x14ac:dyDescent="0.2">
      <c r="A159" t="s">
        <v>287</v>
      </c>
      <c r="B159" s="2">
        <v>46099</v>
      </c>
      <c r="C159" s="2" t="str">
        <f t="shared" si="18"/>
        <v>March</v>
      </c>
      <c r="D159" t="s">
        <v>135</v>
      </c>
      <c r="E159" t="s">
        <v>67</v>
      </c>
      <c r="F159" t="s">
        <v>63</v>
      </c>
      <c r="G159" t="s">
        <v>22</v>
      </c>
      <c r="H159">
        <v>3</v>
      </c>
      <c r="I159" s="3">
        <v>1119.8399999999999</v>
      </c>
      <c r="J159" s="4">
        <v>0.15</v>
      </c>
      <c r="K159" t="s">
        <v>23</v>
      </c>
      <c r="L159" t="s">
        <v>28</v>
      </c>
      <c r="M159">
        <f t="shared" si="19"/>
        <v>2855.5919999999996</v>
      </c>
    </row>
    <row r="160" spans="1:13" x14ac:dyDescent="0.2">
      <c r="A160" t="s">
        <v>288</v>
      </c>
      <c r="B160" s="2">
        <v>46100</v>
      </c>
      <c r="C160" s="2" t="str">
        <f t="shared" si="18"/>
        <v>March</v>
      </c>
      <c r="D160" t="s">
        <v>105</v>
      </c>
      <c r="E160" t="s">
        <v>80</v>
      </c>
      <c r="F160" t="s">
        <v>77</v>
      </c>
      <c r="G160" t="s">
        <v>22</v>
      </c>
      <c r="H160">
        <v>2</v>
      </c>
      <c r="I160" s="3">
        <v>342.4</v>
      </c>
      <c r="J160" s="4">
        <v>0</v>
      </c>
      <c r="K160" t="s">
        <v>44</v>
      </c>
      <c r="L160" t="s">
        <v>56</v>
      </c>
      <c r="M160">
        <f t="shared" si="19"/>
        <v>684.8</v>
      </c>
    </row>
    <row r="161" spans="1:13" x14ac:dyDescent="0.2">
      <c r="A161" t="s">
        <v>289</v>
      </c>
      <c r="B161" s="2">
        <v>46100</v>
      </c>
      <c r="C161" s="2" t="str">
        <f t="shared" si="18"/>
        <v>March</v>
      </c>
      <c r="D161" t="s">
        <v>84</v>
      </c>
      <c r="E161" t="s">
        <v>51</v>
      </c>
      <c r="F161" t="s">
        <v>63</v>
      </c>
      <c r="G161" t="s">
        <v>22</v>
      </c>
      <c r="H161">
        <v>2</v>
      </c>
      <c r="I161" s="3">
        <v>1116.6199999999999</v>
      </c>
      <c r="J161" s="4">
        <v>0.05</v>
      </c>
      <c r="K161" t="s">
        <v>23</v>
      </c>
      <c r="L161" t="s">
        <v>28</v>
      </c>
      <c r="M161">
        <f t="shared" si="19"/>
        <v>2121.5779999999995</v>
      </c>
    </row>
    <row r="162" spans="1:13" x14ac:dyDescent="0.2">
      <c r="A162" t="s">
        <v>290</v>
      </c>
      <c r="B162" s="2">
        <v>46100</v>
      </c>
      <c r="C162" s="2" t="str">
        <f t="shared" si="18"/>
        <v>March</v>
      </c>
      <c r="D162" t="s">
        <v>200</v>
      </c>
      <c r="E162" t="s">
        <v>59</v>
      </c>
      <c r="F162" t="s">
        <v>42</v>
      </c>
      <c r="G162" t="s">
        <v>43</v>
      </c>
      <c r="H162">
        <v>6</v>
      </c>
      <c r="I162" s="3">
        <v>268.24</v>
      </c>
      <c r="J162" s="4">
        <v>0</v>
      </c>
      <c r="K162" t="s">
        <v>16</v>
      </c>
      <c r="L162" t="s">
        <v>74</v>
      </c>
      <c r="M162">
        <f t="shared" si="19"/>
        <v>1609.44</v>
      </c>
    </row>
    <row r="163" spans="1:13" x14ac:dyDescent="0.2">
      <c r="A163" t="s">
        <v>291</v>
      </c>
      <c r="B163" s="2">
        <v>46100</v>
      </c>
      <c r="C163" s="2" t="str">
        <f t="shared" si="18"/>
        <v>March</v>
      </c>
      <c r="D163" t="s">
        <v>126</v>
      </c>
      <c r="E163" t="s">
        <v>13</v>
      </c>
      <c r="F163" t="s">
        <v>38</v>
      </c>
      <c r="G163" t="s">
        <v>15</v>
      </c>
      <c r="H163">
        <v>1</v>
      </c>
      <c r="I163" s="3">
        <v>28.53</v>
      </c>
      <c r="J163" s="4">
        <v>0.05</v>
      </c>
      <c r="K163" t="s">
        <v>55</v>
      </c>
      <c r="L163" t="s">
        <v>28</v>
      </c>
      <c r="M163">
        <f t="shared" si="19"/>
        <v>27.1035</v>
      </c>
    </row>
    <row r="164" spans="1:13" x14ac:dyDescent="0.2">
      <c r="A164" t="s">
        <v>292</v>
      </c>
      <c r="B164" s="2">
        <v>46101</v>
      </c>
      <c r="C164" s="2" t="str">
        <f t="shared" si="18"/>
        <v>March</v>
      </c>
      <c r="D164" t="s">
        <v>198</v>
      </c>
      <c r="E164" t="s">
        <v>67</v>
      </c>
      <c r="F164" t="s">
        <v>85</v>
      </c>
      <c r="G164" t="s">
        <v>22</v>
      </c>
      <c r="H164">
        <v>6</v>
      </c>
      <c r="I164" s="3">
        <v>533.39</v>
      </c>
      <c r="J164" s="4">
        <v>0.05</v>
      </c>
      <c r="K164" t="s">
        <v>27</v>
      </c>
      <c r="L164" t="s">
        <v>28</v>
      </c>
      <c r="M164">
        <f t="shared" si="19"/>
        <v>3040.3229999999999</v>
      </c>
    </row>
    <row r="165" spans="1:13" x14ac:dyDescent="0.2">
      <c r="A165" t="s">
        <v>293</v>
      </c>
      <c r="B165" s="2">
        <v>46101</v>
      </c>
      <c r="C165" s="2" t="str">
        <f t="shared" si="18"/>
        <v>March</v>
      </c>
      <c r="D165" t="s">
        <v>294</v>
      </c>
      <c r="E165" t="s">
        <v>90</v>
      </c>
      <c r="F165" t="s">
        <v>38</v>
      </c>
      <c r="G165" t="s">
        <v>15</v>
      </c>
      <c r="H165">
        <v>8</v>
      </c>
      <c r="I165" s="3">
        <v>30.82</v>
      </c>
      <c r="J165" s="4">
        <v>0.05</v>
      </c>
      <c r="K165" t="s">
        <v>44</v>
      </c>
      <c r="L165" t="s">
        <v>17</v>
      </c>
      <c r="M165">
        <f t="shared" si="19"/>
        <v>234.232</v>
      </c>
    </row>
    <row r="166" spans="1:13" x14ac:dyDescent="0.2">
      <c r="A166" t="s">
        <v>295</v>
      </c>
      <c r="B166" s="2">
        <v>46102</v>
      </c>
      <c r="C166" s="2" t="str">
        <f t="shared" si="18"/>
        <v>March</v>
      </c>
      <c r="D166" t="s">
        <v>247</v>
      </c>
      <c r="E166" t="s">
        <v>35</v>
      </c>
      <c r="F166" t="s">
        <v>38</v>
      </c>
      <c r="G166" t="s">
        <v>15</v>
      </c>
      <c r="H166">
        <v>5</v>
      </c>
      <c r="I166" s="3">
        <v>31.47</v>
      </c>
      <c r="J166" s="4">
        <v>0.1</v>
      </c>
      <c r="K166" t="s">
        <v>27</v>
      </c>
      <c r="L166" t="s">
        <v>70</v>
      </c>
      <c r="M166">
        <f t="shared" si="19"/>
        <v>141.61500000000001</v>
      </c>
    </row>
    <row r="167" spans="1:13" x14ac:dyDescent="0.2">
      <c r="A167" t="s">
        <v>296</v>
      </c>
      <c r="B167" s="2">
        <v>46102</v>
      </c>
      <c r="C167" s="2" t="str">
        <f t="shared" si="18"/>
        <v>March</v>
      </c>
      <c r="D167" t="s">
        <v>111</v>
      </c>
      <c r="E167" t="s">
        <v>51</v>
      </c>
      <c r="F167" t="s">
        <v>114</v>
      </c>
      <c r="G167" t="s">
        <v>43</v>
      </c>
      <c r="H167">
        <v>6</v>
      </c>
      <c r="I167" s="3">
        <v>193.25</v>
      </c>
      <c r="J167" s="4">
        <v>0.15</v>
      </c>
      <c r="K167" t="s">
        <v>16</v>
      </c>
      <c r="L167" t="s">
        <v>64</v>
      </c>
      <c r="M167">
        <f t="shared" si="19"/>
        <v>985.57499999999993</v>
      </c>
    </row>
    <row r="168" spans="1:13" x14ac:dyDescent="0.2">
      <c r="A168" t="s">
        <v>297</v>
      </c>
      <c r="B168" s="2">
        <v>46102</v>
      </c>
      <c r="C168" s="2" t="str">
        <f t="shared" si="18"/>
        <v>March</v>
      </c>
      <c r="D168" t="s">
        <v>183</v>
      </c>
      <c r="E168" t="s">
        <v>41</v>
      </c>
      <c r="F168" t="s">
        <v>21</v>
      </c>
      <c r="G168" t="s">
        <v>22</v>
      </c>
      <c r="H168">
        <v>5</v>
      </c>
      <c r="I168" s="3">
        <v>77.95</v>
      </c>
      <c r="J168" s="4">
        <v>0.1</v>
      </c>
      <c r="K168" t="s">
        <v>23</v>
      </c>
      <c r="L168" t="s">
        <v>64</v>
      </c>
      <c r="M168">
        <f t="shared" si="19"/>
        <v>350.77500000000003</v>
      </c>
    </row>
    <row r="169" spans="1:13" x14ac:dyDescent="0.2">
      <c r="A169" t="s">
        <v>298</v>
      </c>
      <c r="B169" s="2">
        <v>46103</v>
      </c>
      <c r="C169" s="2" t="str">
        <f t="shared" si="18"/>
        <v>March</v>
      </c>
      <c r="D169" t="s">
        <v>103</v>
      </c>
      <c r="E169" t="s">
        <v>26</v>
      </c>
      <c r="F169" t="s">
        <v>85</v>
      </c>
      <c r="G169" t="s">
        <v>22</v>
      </c>
      <c r="H169">
        <v>4</v>
      </c>
      <c r="I169" s="3">
        <v>528.94000000000005</v>
      </c>
      <c r="J169" s="4">
        <v>0.1</v>
      </c>
      <c r="K169" t="s">
        <v>27</v>
      </c>
      <c r="L169" t="s">
        <v>74</v>
      </c>
      <c r="M169">
        <f t="shared" si="19"/>
        <v>1904.1840000000002</v>
      </c>
    </row>
    <row r="170" spans="1:13" x14ac:dyDescent="0.2">
      <c r="A170" t="s">
        <v>299</v>
      </c>
      <c r="B170" s="2">
        <v>46103</v>
      </c>
      <c r="C170" s="2" t="str">
        <f t="shared" si="18"/>
        <v>March</v>
      </c>
      <c r="D170" t="s">
        <v>300</v>
      </c>
      <c r="E170" t="s">
        <v>93</v>
      </c>
      <c r="F170" t="s">
        <v>77</v>
      </c>
      <c r="G170" t="s">
        <v>22</v>
      </c>
      <c r="H170">
        <v>1</v>
      </c>
      <c r="I170" s="3">
        <v>330.81</v>
      </c>
      <c r="J170" s="4">
        <v>0.05</v>
      </c>
      <c r="K170" t="s">
        <v>55</v>
      </c>
      <c r="L170" t="s">
        <v>17</v>
      </c>
      <c r="M170">
        <f t="shared" si="19"/>
        <v>314.26949999999999</v>
      </c>
    </row>
    <row r="171" spans="1:13" x14ac:dyDescent="0.2">
      <c r="A171" t="s">
        <v>301</v>
      </c>
      <c r="B171" s="2">
        <v>46104</v>
      </c>
      <c r="C171" s="2" t="str">
        <f t="shared" si="18"/>
        <v>March</v>
      </c>
      <c r="D171" t="s">
        <v>143</v>
      </c>
      <c r="E171" t="s">
        <v>119</v>
      </c>
      <c r="F171" t="s">
        <v>42</v>
      </c>
      <c r="G171" t="s">
        <v>43</v>
      </c>
      <c r="H171">
        <v>1</v>
      </c>
      <c r="I171" s="3">
        <v>294.45</v>
      </c>
      <c r="J171" s="4">
        <v>0.15</v>
      </c>
      <c r="K171" t="s">
        <v>27</v>
      </c>
      <c r="L171" t="s">
        <v>64</v>
      </c>
      <c r="M171">
        <f t="shared" si="19"/>
        <v>250.28249999999997</v>
      </c>
    </row>
    <row r="172" spans="1:13" x14ac:dyDescent="0.2">
      <c r="A172" t="s">
        <v>302</v>
      </c>
      <c r="B172" s="2">
        <v>46104</v>
      </c>
      <c r="C172" s="2" t="str">
        <f t="shared" si="18"/>
        <v>March</v>
      </c>
      <c r="D172" t="s">
        <v>92</v>
      </c>
      <c r="E172" t="s">
        <v>51</v>
      </c>
      <c r="F172" t="s">
        <v>77</v>
      </c>
      <c r="G172" t="s">
        <v>22</v>
      </c>
      <c r="H172">
        <v>4</v>
      </c>
      <c r="I172" s="3">
        <v>349.9</v>
      </c>
      <c r="J172" s="4">
        <v>0.05</v>
      </c>
      <c r="K172" t="s">
        <v>44</v>
      </c>
      <c r="L172" t="s">
        <v>28</v>
      </c>
      <c r="M172">
        <f t="shared" si="19"/>
        <v>1329.62</v>
      </c>
    </row>
    <row r="173" spans="1:13" x14ac:dyDescent="0.2">
      <c r="A173" t="s">
        <v>303</v>
      </c>
      <c r="B173" s="2">
        <v>46105</v>
      </c>
      <c r="C173" s="2" t="str">
        <f t="shared" si="18"/>
        <v>March</v>
      </c>
      <c r="D173" t="s">
        <v>89</v>
      </c>
      <c r="E173" t="s">
        <v>80</v>
      </c>
      <c r="F173" t="s">
        <v>73</v>
      </c>
      <c r="G173" t="s">
        <v>43</v>
      </c>
      <c r="H173">
        <v>6</v>
      </c>
      <c r="I173" s="3">
        <v>213.49</v>
      </c>
      <c r="J173" s="4">
        <v>0.1</v>
      </c>
      <c r="K173" t="s">
        <v>16</v>
      </c>
      <c r="L173" t="s">
        <v>17</v>
      </c>
      <c r="M173">
        <f t="shared" si="19"/>
        <v>1152.846</v>
      </c>
    </row>
    <row r="174" spans="1:13" x14ac:dyDescent="0.2">
      <c r="A174" t="s">
        <v>304</v>
      </c>
      <c r="B174" s="2">
        <v>46105</v>
      </c>
      <c r="C174" s="2" t="str">
        <f t="shared" si="18"/>
        <v>March</v>
      </c>
      <c r="D174" t="s">
        <v>164</v>
      </c>
      <c r="E174" t="s">
        <v>13</v>
      </c>
      <c r="F174" t="s">
        <v>42</v>
      </c>
      <c r="G174" t="s">
        <v>43</v>
      </c>
      <c r="H174">
        <v>5</v>
      </c>
      <c r="I174" s="3">
        <v>300.92</v>
      </c>
      <c r="J174" s="4">
        <v>0.05</v>
      </c>
      <c r="K174" t="s">
        <v>44</v>
      </c>
      <c r="L174" t="s">
        <v>17</v>
      </c>
      <c r="M174">
        <f t="shared" si="19"/>
        <v>1429.3700000000001</v>
      </c>
    </row>
    <row r="175" spans="1:13" x14ac:dyDescent="0.2">
      <c r="A175" t="s">
        <v>305</v>
      </c>
      <c r="B175" s="2">
        <v>46106</v>
      </c>
      <c r="C175" s="2" t="str">
        <f t="shared" si="18"/>
        <v>March</v>
      </c>
      <c r="D175" t="s">
        <v>66</v>
      </c>
      <c r="E175" t="s">
        <v>119</v>
      </c>
      <c r="F175" t="s">
        <v>85</v>
      </c>
      <c r="G175" t="s">
        <v>22</v>
      </c>
      <c r="H175">
        <v>5</v>
      </c>
      <c r="I175" s="3">
        <v>467.81</v>
      </c>
      <c r="J175" s="4">
        <v>0</v>
      </c>
      <c r="K175" t="s">
        <v>55</v>
      </c>
      <c r="L175" t="s">
        <v>70</v>
      </c>
      <c r="M175">
        <f t="shared" si="19"/>
        <v>2339.0500000000002</v>
      </c>
    </row>
    <row r="176" spans="1:13" x14ac:dyDescent="0.2">
      <c r="A176" t="s">
        <v>306</v>
      </c>
      <c r="B176" s="2">
        <v>46106</v>
      </c>
      <c r="C176" s="2" t="str">
        <f t="shared" si="18"/>
        <v>March</v>
      </c>
      <c r="D176" t="s">
        <v>95</v>
      </c>
      <c r="E176" t="s">
        <v>90</v>
      </c>
      <c r="F176" t="s">
        <v>14</v>
      </c>
      <c r="G176" t="s">
        <v>15</v>
      </c>
      <c r="H176">
        <v>1</v>
      </c>
      <c r="I176" s="3">
        <v>57.3</v>
      </c>
      <c r="J176" s="4">
        <v>0.05</v>
      </c>
      <c r="K176" t="s">
        <v>44</v>
      </c>
      <c r="L176" t="s">
        <v>17</v>
      </c>
      <c r="M176">
        <f t="shared" si="19"/>
        <v>54.434999999999995</v>
      </c>
    </row>
    <row r="177" spans="1:13" x14ac:dyDescent="0.2">
      <c r="A177" t="s">
        <v>307</v>
      </c>
      <c r="B177" s="2">
        <v>46107</v>
      </c>
      <c r="C177" s="2" t="str">
        <f t="shared" si="18"/>
        <v>March</v>
      </c>
      <c r="D177" t="s">
        <v>147</v>
      </c>
      <c r="E177" t="s">
        <v>31</v>
      </c>
      <c r="F177" t="s">
        <v>73</v>
      </c>
      <c r="G177" t="s">
        <v>43</v>
      </c>
      <c r="H177">
        <v>4</v>
      </c>
      <c r="I177" s="3">
        <v>215.7</v>
      </c>
      <c r="J177" s="4">
        <v>0.1</v>
      </c>
      <c r="K177" t="s">
        <v>27</v>
      </c>
      <c r="L177" t="s">
        <v>32</v>
      </c>
      <c r="M177">
        <f t="shared" si="19"/>
        <v>776.52</v>
      </c>
    </row>
    <row r="178" spans="1:13" x14ac:dyDescent="0.2">
      <c r="A178" t="s">
        <v>308</v>
      </c>
      <c r="B178" s="2">
        <v>46107</v>
      </c>
      <c r="C178" s="2" t="str">
        <f t="shared" si="18"/>
        <v>March</v>
      </c>
      <c r="D178" t="s">
        <v>124</v>
      </c>
      <c r="E178" t="s">
        <v>35</v>
      </c>
      <c r="F178" t="s">
        <v>77</v>
      </c>
      <c r="G178" t="s">
        <v>22</v>
      </c>
      <c r="H178">
        <v>1</v>
      </c>
      <c r="I178" s="3">
        <v>373.2</v>
      </c>
      <c r="J178" s="4">
        <v>0</v>
      </c>
      <c r="K178" t="s">
        <v>27</v>
      </c>
      <c r="L178" t="s">
        <v>28</v>
      </c>
      <c r="M178">
        <f t="shared" si="19"/>
        <v>373.2</v>
      </c>
    </row>
    <row r="179" spans="1:13" x14ac:dyDescent="0.2">
      <c r="A179" t="s">
        <v>309</v>
      </c>
      <c r="B179" s="2">
        <v>46107</v>
      </c>
      <c r="C179" s="2" t="str">
        <f t="shared" si="18"/>
        <v>March</v>
      </c>
      <c r="D179" t="s">
        <v>200</v>
      </c>
      <c r="E179" t="s">
        <v>26</v>
      </c>
      <c r="F179" t="s">
        <v>63</v>
      </c>
      <c r="G179" t="s">
        <v>22</v>
      </c>
      <c r="H179">
        <v>2</v>
      </c>
      <c r="I179" s="3">
        <v>1173.1500000000001</v>
      </c>
      <c r="J179" s="4">
        <v>0</v>
      </c>
      <c r="K179" t="s">
        <v>27</v>
      </c>
      <c r="L179" t="s">
        <v>56</v>
      </c>
      <c r="M179">
        <f t="shared" si="19"/>
        <v>2346.3000000000002</v>
      </c>
    </row>
    <row r="180" spans="1:13" x14ac:dyDescent="0.2">
      <c r="A180" t="s">
        <v>310</v>
      </c>
      <c r="B180" s="2">
        <v>46108</v>
      </c>
      <c r="C180" s="2" t="str">
        <f t="shared" si="18"/>
        <v>March</v>
      </c>
      <c r="D180" t="s">
        <v>221</v>
      </c>
      <c r="E180" t="s">
        <v>51</v>
      </c>
      <c r="F180" t="s">
        <v>114</v>
      </c>
      <c r="G180" t="s">
        <v>43</v>
      </c>
      <c r="H180">
        <v>1</v>
      </c>
      <c r="I180" s="3">
        <v>173.94</v>
      </c>
      <c r="J180" s="4">
        <v>0</v>
      </c>
      <c r="K180" t="s">
        <v>23</v>
      </c>
      <c r="L180" t="s">
        <v>74</v>
      </c>
      <c r="M180">
        <f t="shared" si="19"/>
        <v>173.94</v>
      </c>
    </row>
    <row r="181" spans="1:13" x14ac:dyDescent="0.2">
      <c r="A181" t="s">
        <v>311</v>
      </c>
      <c r="B181" s="2">
        <v>46108</v>
      </c>
      <c r="C181" s="2" t="str">
        <f t="shared" si="18"/>
        <v>March</v>
      </c>
      <c r="D181" t="s">
        <v>227</v>
      </c>
      <c r="E181" t="s">
        <v>26</v>
      </c>
      <c r="F181" t="s">
        <v>77</v>
      </c>
      <c r="G181" t="s">
        <v>22</v>
      </c>
      <c r="H181">
        <v>6</v>
      </c>
      <c r="I181" s="3">
        <v>368.28</v>
      </c>
      <c r="J181" s="4">
        <v>0.05</v>
      </c>
      <c r="K181" t="s">
        <v>44</v>
      </c>
      <c r="L181" t="s">
        <v>56</v>
      </c>
      <c r="M181">
        <f t="shared" si="19"/>
        <v>2099.1959999999999</v>
      </c>
    </row>
    <row r="182" spans="1:13" x14ac:dyDescent="0.2">
      <c r="A182" t="s">
        <v>312</v>
      </c>
      <c r="B182" s="2">
        <v>46108</v>
      </c>
      <c r="C182" s="2" t="str">
        <f t="shared" si="18"/>
        <v>March</v>
      </c>
      <c r="D182" t="s">
        <v>313</v>
      </c>
      <c r="E182" t="s">
        <v>93</v>
      </c>
      <c r="F182" t="s">
        <v>38</v>
      </c>
      <c r="G182" t="s">
        <v>15</v>
      </c>
      <c r="H182">
        <v>3</v>
      </c>
      <c r="I182" s="3">
        <v>29.01</v>
      </c>
      <c r="J182" s="4">
        <v>0</v>
      </c>
      <c r="K182" t="s">
        <v>23</v>
      </c>
      <c r="L182" t="s">
        <v>28</v>
      </c>
      <c r="M182">
        <f t="shared" si="19"/>
        <v>87.03</v>
      </c>
    </row>
    <row r="183" spans="1:13" x14ac:dyDescent="0.2">
      <c r="A183" t="s">
        <v>314</v>
      </c>
      <c r="B183" s="2">
        <v>46108</v>
      </c>
      <c r="C183" s="2" t="str">
        <f t="shared" si="18"/>
        <v>March</v>
      </c>
      <c r="D183" t="s">
        <v>315</v>
      </c>
      <c r="E183" t="s">
        <v>93</v>
      </c>
      <c r="F183" t="s">
        <v>63</v>
      </c>
      <c r="G183" t="s">
        <v>22</v>
      </c>
      <c r="H183">
        <v>4</v>
      </c>
      <c r="I183" s="3">
        <v>1121.06</v>
      </c>
      <c r="J183" s="4">
        <v>0</v>
      </c>
      <c r="K183" t="s">
        <v>16</v>
      </c>
      <c r="L183" t="s">
        <v>74</v>
      </c>
      <c r="M183">
        <f t="shared" si="19"/>
        <v>4484.24</v>
      </c>
    </row>
    <row r="184" spans="1:13" x14ac:dyDescent="0.2">
      <c r="A184" t="s">
        <v>316</v>
      </c>
      <c r="B184" s="2">
        <v>46108</v>
      </c>
      <c r="C184" s="2" t="str">
        <f t="shared" si="18"/>
        <v>March</v>
      </c>
      <c r="D184" t="s">
        <v>113</v>
      </c>
      <c r="E184" t="s">
        <v>31</v>
      </c>
      <c r="F184" t="s">
        <v>63</v>
      </c>
      <c r="G184" t="s">
        <v>22</v>
      </c>
      <c r="H184">
        <v>4</v>
      </c>
      <c r="I184" s="3">
        <v>1264.53</v>
      </c>
      <c r="J184" s="4">
        <v>0.05</v>
      </c>
      <c r="K184" t="s">
        <v>44</v>
      </c>
      <c r="L184" t="s">
        <v>52</v>
      </c>
      <c r="M184">
        <f t="shared" si="19"/>
        <v>4805.2139999999999</v>
      </c>
    </row>
    <row r="185" spans="1:13" x14ac:dyDescent="0.2">
      <c r="A185" t="s">
        <v>317</v>
      </c>
      <c r="B185" s="2">
        <v>46110</v>
      </c>
      <c r="C185" s="2" t="str">
        <f t="shared" si="18"/>
        <v>March</v>
      </c>
      <c r="D185" t="s">
        <v>147</v>
      </c>
      <c r="E185" t="s">
        <v>62</v>
      </c>
      <c r="F185" t="s">
        <v>21</v>
      </c>
      <c r="G185" t="s">
        <v>22</v>
      </c>
      <c r="H185">
        <v>3</v>
      </c>
      <c r="I185" s="3">
        <v>78.66</v>
      </c>
      <c r="J185" s="4">
        <v>0.1</v>
      </c>
      <c r="K185" t="s">
        <v>44</v>
      </c>
      <c r="L185" t="s">
        <v>17</v>
      </c>
      <c r="M185">
        <f t="shared" si="19"/>
        <v>212.38200000000001</v>
      </c>
    </row>
    <row r="186" spans="1:13" x14ac:dyDescent="0.2">
      <c r="A186" t="s">
        <v>318</v>
      </c>
      <c r="B186" s="2">
        <v>46111</v>
      </c>
      <c r="C186" s="2" t="str">
        <f t="shared" si="18"/>
        <v>March</v>
      </c>
      <c r="D186" t="s">
        <v>209</v>
      </c>
      <c r="E186" t="s">
        <v>26</v>
      </c>
      <c r="F186" t="s">
        <v>85</v>
      </c>
      <c r="G186" t="s">
        <v>22</v>
      </c>
      <c r="H186">
        <v>3</v>
      </c>
      <c r="I186" s="3">
        <v>460.57</v>
      </c>
      <c r="J186" s="4">
        <v>0.05</v>
      </c>
      <c r="K186" t="s">
        <v>44</v>
      </c>
      <c r="L186" t="s">
        <v>70</v>
      </c>
      <c r="M186">
        <f t="shared" si="19"/>
        <v>1312.6244999999999</v>
      </c>
    </row>
    <row r="187" spans="1:13" x14ac:dyDescent="0.2">
      <c r="A187" t="s">
        <v>319</v>
      </c>
      <c r="B187" s="2">
        <v>46111</v>
      </c>
      <c r="C187" s="2" t="str">
        <f t="shared" si="18"/>
        <v>March</v>
      </c>
      <c r="D187" t="s">
        <v>124</v>
      </c>
      <c r="E187" t="s">
        <v>31</v>
      </c>
      <c r="F187" t="s">
        <v>77</v>
      </c>
      <c r="G187" t="s">
        <v>22</v>
      </c>
      <c r="H187">
        <v>1</v>
      </c>
      <c r="I187" s="3">
        <v>372.84</v>
      </c>
      <c r="J187" s="4">
        <v>0.05</v>
      </c>
      <c r="K187" t="s">
        <v>23</v>
      </c>
      <c r="L187" t="s">
        <v>17</v>
      </c>
      <c r="M187">
        <f t="shared" si="19"/>
        <v>354.19799999999998</v>
      </c>
    </row>
    <row r="188" spans="1:13" x14ac:dyDescent="0.2">
      <c r="A188" t="s">
        <v>320</v>
      </c>
      <c r="B188" s="2">
        <v>46111</v>
      </c>
      <c r="C188" s="2" t="str">
        <f t="shared" si="18"/>
        <v>March</v>
      </c>
      <c r="D188" t="s">
        <v>257</v>
      </c>
      <c r="E188" t="s">
        <v>35</v>
      </c>
      <c r="F188" t="s">
        <v>21</v>
      </c>
      <c r="G188" t="s">
        <v>22</v>
      </c>
      <c r="H188">
        <v>5</v>
      </c>
      <c r="I188" s="3">
        <v>70.36</v>
      </c>
      <c r="J188" s="4">
        <v>0.1</v>
      </c>
      <c r="K188" t="s">
        <v>27</v>
      </c>
      <c r="L188" t="s">
        <v>56</v>
      </c>
      <c r="M188">
        <f t="shared" si="19"/>
        <v>316.62</v>
      </c>
    </row>
    <row r="189" spans="1:13" x14ac:dyDescent="0.2">
      <c r="A189" t="s">
        <v>321</v>
      </c>
      <c r="B189" s="2">
        <v>46111</v>
      </c>
      <c r="C189" s="2" t="str">
        <f t="shared" si="18"/>
        <v>March</v>
      </c>
      <c r="D189" t="s">
        <v>322</v>
      </c>
      <c r="E189" t="s">
        <v>26</v>
      </c>
      <c r="F189" t="s">
        <v>63</v>
      </c>
      <c r="G189" t="s">
        <v>22</v>
      </c>
      <c r="H189">
        <v>1</v>
      </c>
      <c r="I189" s="3">
        <v>1194</v>
      </c>
      <c r="J189" s="4">
        <v>0</v>
      </c>
      <c r="K189" t="s">
        <v>16</v>
      </c>
      <c r="L189" t="s">
        <v>32</v>
      </c>
      <c r="M189">
        <f t="shared" si="19"/>
        <v>1194</v>
      </c>
    </row>
    <row r="190" spans="1:13" x14ac:dyDescent="0.2">
      <c r="A190" t="s">
        <v>323</v>
      </c>
      <c r="B190" s="2">
        <v>46112</v>
      </c>
      <c r="C190" s="2" t="str">
        <f t="shared" si="18"/>
        <v>March</v>
      </c>
      <c r="D190" t="s">
        <v>103</v>
      </c>
      <c r="E190" t="s">
        <v>47</v>
      </c>
      <c r="F190" t="s">
        <v>42</v>
      </c>
      <c r="G190" t="s">
        <v>43</v>
      </c>
      <c r="H190">
        <v>1</v>
      </c>
      <c r="I190" s="3">
        <v>295.45</v>
      </c>
      <c r="J190" s="4">
        <v>0</v>
      </c>
      <c r="K190" t="s">
        <v>27</v>
      </c>
      <c r="L190" t="s">
        <v>70</v>
      </c>
      <c r="M190">
        <f t="shared" si="19"/>
        <v>295.45</v>
      </c>
    </row>
    <row r="191" spans="1:13" x14ac:dyDescent="0.2">
      <c r="A191" t="s">
        <v>324</v>
      </c>
      <c r="B191" s="2">
        <v>46112</v>
      </c>
      <c r="C191" s="2" t="str">
        <f t="shared" si="18"/>
        <v>March</v>
      </c>
      <c r="D191" t="s">
        <v>325</v>
      </c>
      <c r="E191" t="s">
        <v>67</v>
      </c>
      <c r="F191" t="s">
        <v>114</v>
      </c>
      <c r="G191" t="s">
        <v>43</v>
      </c>
      <c r="H191">
        <v>3</v>
      </c>
      <c r="I191" s="3">
        <v>177.54</v>
      </c>
      <c r="J191" s="4">
        <v>0</v>
      </c>
      <c r="K191" t="s">
        <v>23</v>
      </c>
      <c r="L191" t="s">
        <v>70</v>
      </c>
      <c r="M191">
        <f t="shared" si="19"/>
        <v>532.62</v>
      </c>
    </row>
    <row r="192" spans="1:13" x14ac:dyDescent="0.2">
      <c r="A192" t="s">
        <v>326</v>
      </c>
      <c r="B192" s="2">
        <v>46112</v>
      </c>
      <c r="C192" s="2" t="str">
        <f t="shared" si="18"/>
        <v>March</v>
      </c>
      <c r="D192" t="s">
        <v>204</v>
      </c>
      <c r="E192" t="s">
        <v>20</v>
      </c>
      <c r="F192" t="s">
        <v>14</v>
      </c>
      <c r="G192" t="s">
        <v>15</v>
      </c>
      <c r="H192">
        <v>3</v>
      </c>
      <c r="I192" s="3">
        <v>61.45</v>
      </c>
      <c r="J192" s="4">
        <v>0</v>
      </c>
      <c r="K192" t="s">
        <v>23</v>
      </c>
      <c r="L192" t="s">
        <v>64</v>
      </c>
      <c r="M192">
        <f t="shared" si="19"/>
        <v>184.35000000000002</v>
      </c>
    </row>
    <row r="193" spans="1:13" x14ac:dyDescent="0.2">
      <c r="A193" t="s">
        <v>327</v>
      </c>
      <c r="B193" s="2">
        <v>46114</v>
      </c>
      <c r="C193" s="2" t="str">
        <f t="shared" si="18"/>
        <v>April</v>
      </c>
      <c r="D193" t="s">
        <v>116</v>
      </c>
      <c r="E193" t="s">
        <v>51</v>
      </c>
      <c r="F193" t="s">
        <v>42</v>
      </c>
      <c r="G193" t="s">
        <v>43</v>
      </c>
      <c r="H193">
        <v>4</v>
      </c>
      <c r="I193" s="3">
        <v>272.74</v>
      </c>
      <c r="J193" s="4">
        <v>0.15</v>
      </c>
      <c r="K193" t="s">
        <v>44</v>
      </c>
      <c r="L193" t="s">
        <v>56</v>
      </c>
      <c r="M193">
        <f t="shared" si="19"/>
        <v>927.31600000000003</v>
      </c>
    </row>
    <row r="194" spans="1:13" x14ac:dyDescent="0.2">
      <c r="A194" t="s">
        <v>328</v>
      </c>
      <c r="B194" s="2">
        <v>46114</v>
      </c>
      <c r="C194" s="2" t="str">
        <f t="shared" si="18"/>
        <v>April</v>
      </c>
      <c r="D194" t="s">
        <v>124</v>
      </c>
      <c r="E194" t="s">
        <v>80</v>
      </c>
      <c r="F194" t="s">
        <v>77</v>
      </c>
      <c r="G194" t="s">
        <v>22</v>
      </c>
      <c r="H194">
        <v>1</v>
      </c>
      <c r="I194" s="3">
        <v>331.46</v>
      </c>
      <c r="J194" s="4">
        <v>0</v>
      </c>
      <c r="K194" t="s">
        <v>16</v>
      </c>
      <c r="L194" t="s">
        <v>28</v>
      </c>
      <c r="M194">
        <f t="shared" si="19"/>
        <v>331.46</v>
      </c>
    </row>
    <row r="195" spans="1:13" x14ac:dyDescent="0.2">
      <c r="A195" t="s">
        <v>329</v>
      </c>
      <c r="B195" s="2">
        <v>46114</v>
      </c>
      <c r="C195" s="2" t="str">
        <f t="shared" ref="C195:C258" si="20">TEXT(B195,"mmmm")</f>
        <v>April</v>
      </c>
      <c r="D195" t="s">
        <v>227</v>
      </c>
      <c r="E195" t="s">
        <v>119</v>
      </c>
      <c r="F195" t="s">
        <v>14</v>
      </c>
      <c r="G195" t="s">
        <v>15</v>
      </c>
      <c r="H195">
        <v>1</v>
      </c>
      <c r="I195" s="3">
        <v>56.37</v>
      </c>
      <c r="J195" s="4">
        <v>0.1</v>
      </c>
      <c r="K195" t="s">
        <v>55</v>
      </c>
      <c r="L195" t="s">
        <v>64</v>
      </c>
      <c r="M195">
        <f t="shared" ref="M195:M258" si="21">I195*H195*(1-J195)</f>
        <v>50.732999999999997</v>
      </c>
    </row>
    <row r="196" spans="1:13" x14ac:dyDescent="0.2">
      <c r="A196" t="s">
        <v>330</v>
      </c>
      <c r="B196" s="2">
        <v>46115</v>
      </c>
      <c r="C196" s="2" t="str">
        <f t="shared" si="20"/>
        <v>April</v>
      </c>
      <c r="D196" t="s">
        <v>72</v>
      </c>
      <c r="E196" t="s">
        <v>20</v>
      </c>
      <c r="F196" t="s">
        <v>73</v>
      </c>
      <c r="G196" t="s">
        <v>43</v>
      </c>
      <c r="H196">
        <v>2</v>
      </c>
      <c r="I196" s="3">
        <v>217.74</v>
      </c>
      <c r="J196" s="4">
        <v>0.05</v>
      </c>
      <c r="K196" t="s">
        <v>23</v>
      </c>
      <c r="L196" t="s">
        <v>17</v>
      </c>
      <c r="M196">
        <f t="shared" si="21"/>
        <v>413.70600000000002</v>
      </c>
    </row>
    <row r="197" spans="1:13" x14ac:dyDescent="0.2">
      <c r="A197" t="s">
        <v>331</v>
      </c>
      <c r="B197" s="2">
        <v>46115</v>
      </c>
      <c r="C197" s="2" t="str">
        <f t="shared" si="20"/>
        <v>April</v>
      </c>
      <c r="D197" t="s">
        <v>101</v>
      </c>
      <c r="E197" t="s">
        <v>93</v>
      </c>
      <c r="F197" t="s">
        <v>73</v>
      </c>
      <c r="G197" t="s">
        <v>43</v>
      </c>
      <c r="H197">
        <v>3</v>
      </c>
      <c r="I197" s="3">
        <v>215.79</v>
      </c>
      <c r="J197" s="4">
        <v>0.05</v>
      </c>
      <c r="K197" t="s">
        <v>27</v>
      </c>
      <c r="L197" t="s">
        <v>17</v>
      </c>
      <c r="M197">
        <f t="shared" si="21"/>
        <v>615.00149999999996</v>
      </c>
    </row>
    <row r="198" spans="1:13" x14ac:dyDescent="0.2">
      <c r="A198" t="s">
        <v>332</v>
      </c>
      <c r="B198" s="2">
        <v>46115</v>
      </c>
      <c r="C198" s="2" t="str">
        <f t="shared" si="20"/>
        <v>April</v>
      </c>
      <c r="D198" t="s">
        <v>333</v>
      </c>
      <c r="E198" t="s">
        <v>47</v>
      </c>
      <c r="F198" t="s">
        <v>77</v>
      </c>
      <c r="G198" t="s">
        <v>22</v>
      </c>
      <c r="H198">
        <v>1</v>
      </c>
      <c r="I198" s="3">
        <v>363.49</v>
      </c>
      <c r="J198" s="4">
        <v>0.05</v>
      </c>
      <c r="K198" t="s">
        <v>23</v>
      </c>
      <c r="L198" t="s">
        <v>56</v>
      </c>
      <c r="M198">
        <f t="shared" si="21"/>
        <v>345.31549999999999</v>
      </c>
    </row>
    <row r="199" spans="1:13" x14ac:dyDescent="0.2">
      <c r="A199" t="s">
        <v>334</v>
      </c>
      <c r="B199" s="2">
        <v>46115</v>
      </c>
      <c r="C199" s="2" t="str">
        <f t="shared" si="20"/>
        <v>April</v>
      </c>
      <c r="D199" t="s">
        <v>135</v>
      </c>
      <c r="E199" t="s">
        <v>51</v>
      </c>
      <c r="F199" t="s">
        <v>63</v>
      </c>
      <c r="G199" t="s">
        <v>22</v>
      </c>
      <c r="H199">
        <v>4</v>
      </c>
      <c r="I199" s="3">
        <v>1104.03</v>
      </c>
      <c r="J199" s="4">
        <v>0</v>
      </c>
      <c r="K199" t="s">
        <v>27</v>
      </c>
      <c r="L199" t="s">
        <v>70</v>
      </c>
      <c r="M199">
        <f t="shared" si="21"/>
        <v>4416.12</v>
      </c>
    </row>
    <row r="200" spans="1:13" x14ac:dyDescent="0.2">
      <c r="A200" t="s">
        <v>335</v>
      </c>
      <c r="B200" s="2">
        <v>46116</v>
      </c>
      <c r="C200" s="2" t="str">
        <f t="shared" si="20"/>
        <v>April</v>
      </c>
      <c r="D200" t="s">
        <v>336</v>
      </c>
      <c r="E200" t="s">
        <v>93</v>
      </c>
      <c r="F200" t="s">
        <v>114</v>
      </c>
      <c r="G200" t="s">
        <v>43</v>
      </c>
      <c r="H200">
        <v>3</v>
      </c>
      <c r="I200" s="3">
        <v>177.46</v>
      </c>
      <c r="J200" s="4">
        <v>0.05</v>
      </c>
      <c r="K200" t="s">
        <v>16</v>
      </c>
      <c r="L200" t="s">
        <v>28</v>
      </c>
      <c r="M200">
        <f t="shared" si="21"/>
        <v>505.76099999999997</v>
      </c>
    </row>
    <row r="201" spans="1:13" x14ac:dyDescent="0.2">
      <c r="A201" t="s">
        <v>337</v>
      </c>
      <c r="B201" s="2">
        <v>46118</v>
      </c>
      <c r="C201" s="2" t="str">
        <f t="shared" si="20"/>
        <v>April</v>
      </c>
      <c r="D201" t="s">
        <v>72</v>
      </c>
      <c r="E201" t="s">
        <v>26</v>
      </c>
      <c r="F201" t="s">
        <v>42</v>
      </c>
      <c r="G201" t="s">
        <v>43</v>
      </c>
      <c r="H201">
        <v>1</v>
      </c>
      <c r="I201" s="3">
        <v>276.04000000000002</v>
      </c>
      <c r="J201" s="4">
        <v>0.05</v>
      </c>
      <c r="K201" t="s">
        <v>16</v>
      </c>
      <c r="L201" t="s">
        <v>17</v>
      </c>
      <c r="M201">
        <f t="shared" si="21"/>
        <v>262.238</v>
      </c>
    </row>
    <row r="202" spans="1:13" x14ac:dyDescent="0.2">
      <c r="A202" t="s">
        <v>338</v>
      </c>
      <c r="B202" s="2">
        <v>46119</v>
      </c>
      <c r="C202" s="2" t="str">
        <f t="shared" si="20"/>
        <v>April</v>
      </c>
      <c r="D202" t="s">
        <v>339</v>
      </c>
      <c r="E202" t="s">
        <v>119</v>
      </c>
      <c r="F202" t="s">
        <v>38</v>
      </c>
      <c r="G202" t="s">
        <v>15</v>
      </c>
      <c r="H202">
        <v>4</v>
      </c>
      <c r="I202" s="3">
        <v>30.6</v>
      </c>
      <c r="J202" s="4">
        <v>0.15</v>
      </c>
      <c r="K202" t="s">
        <v>27</v>
      </c>
      <c r="L202" t="s">
        <v>56</v>
      </c>
      <c r="M202">
        <f t="shared" si="21"/>
        <v>104.04</v>
      </c>
    </row>
    <row r="203" spans="1:13" x14ac:dyDescent="0.2">
      <c r="A203" t="s">
        <v>340</v>
      </c>
      <c r="B203" s="2">
        <v>46120</v>
      </c>
      <c r="C203" s="2" t="str">
        <f t="shared" si="20"/>
        <v>April</v>
      </c>
      <c r="D203" t="s">
        <v>300</v>
      </c>
      <c r="E203" t="s">
        <v>67</v>
      </c>
      <c r="F203" t="s">
        <v>38</v>
      </c>
      <c r="G203" t="s">
        <v>15</v>
      </c>
      <c r="H203">
        <v>3</v>
      </c>
      <c r="I203" s="3">
        <v>27.91</v>
      </c>
      <c r="J203" s="4">
        <v>0.15</v>
      </c>
      <c r="K203" t="s">
        <v>44</v>
      </c>
      <c r="L203" t="s">
        <v>64</v>
      </c>
      <c r="M203">
        <f t="shared" si="21"/>
        <v>71.170500000000004</v>
      </c>
    </row>
    <row r="204" spans="1:13" x14ac:dyDescent="0.2">
      <c r="A204" t="s">
        <v>341</v>
      </c>
      <c r="B204" s="2">
        <v>46120</v>
      </c>
      <c r="C204" s="2" t="str">
        <f t="shared" si="20"/>
        <v>April</v>
      </c>
      <c r="D204" t="s">
        <v>227</v>
      </c>
      <c r="E204" t="s">
        <v>67</v>
      </c>
      <c r="F204" t="s">
        <v>42</v>
      </c>
      <c r="G204" t="s">
        <v>43</v>
      </c>
      <c r="H204">
        <v>2</v>
      </c>
      <c r="I204" s="3">
        <v>266.72000000000003</v>
      </c>
      <c r="J204" s="4">
        <v>0.1</v>
      </c>
      <c r="K204" t="s">
        <v>27</v>
      </c>
      <c r="L204" t="s">
        <v>64</v>
      </c>
      <c r="M204">
        <f t="shared" si="21"/>
        <v>480.09600000000006</v>
      </c>
    </row>
    <row r="205" spans="1:13" x14ac:dyDescent="0.2">
      <c r="A205" t="s">
        <v>342</v>
      </c>
      <c r="B205" s="2">
        <v>46121</v>
      </c>
      <c r="C205" s="2" t="str">
        <f t="shared" si="20"/>
        <v>April</v>
      </c>
      <c r="D205" t="s">
        <v>247</v>
      </c>
      <c r="E205" t="s">
        <v>20</v>
      </c>
      <c r="F205" t="s">
        <v>38</v>
      </c>
      <c r="G205" t="s">
        <v>15</v>
      </c>
      <c r="H205">
        <v>1</v>
      </c>
      <c r="I205" s="3">
        <v>31.81</v>
      </c>
      <c r="J205" s="4">
        <v>0.15</v>
      </c>
      <c r="K205" t="s">
        <v>23</v>
      </c>
      <c r="L205" t="s">
        <v>17</v>
      </c>
      <c r="M205">
        <f t="shared" si="21"/>
        <v>27.038499999999999</v>
      </c>
    </row>
    <row r="206" spans="1:13" x14ac:dyDescent="0.2">
      <c r="A206" t="s">
        <v>343</v>
      </c>
      <c r="B206" s="2">
        <v>46121</v>
      </c>
      <c r="C206" s="2" t="str">
        <f t="shared" si="20"/>
        <v>April</v>
      </c>
      <c r="D206" t="s">
        <v>50</v>
      </c>
      <c r="E206" t="s">
        <v>51</v>
      </c>
      <c r="F206" t="s">
        <v>48</v>
      </c>
      <c r="G206" t="s">
        <v>15</v>
      </c>
      <c r="H206">
        <v>2</v>
      </c>
      <c r="I206" s="3">
        <v>91.09</v>
      </c>
      <c r="J206" s="4">
        <v>0.05</v>
      </c>
      <c r="K206" t="s">
        <v>27</v>
      </c>
      <c r="L206" t="s">
        <v>70</v>
      </c>
      <c r="M206">
        <f t="shared" si="21"/>
        <v>173.071</v>
      </c>
    </row>
    <row r="207" spans="1:13" x14ac:dyDescent="0.2">
      <c r="A207" t="s">
        <v>344</v>
      </c>
      <c r="B207" s="2">
        <v>46121</v>
      </c>
      <c r="C207" s="2" t="str">
        <f t="shared" si="20"/>
        <v>April</v>
      </c>
      <c r="D207" t="s">
        <v>121</v>
      </c>
      <c r="E207" t="s">
        <v>62</v>
      </c>
      <c r="F207" t="s">
        <v>77</v>
      </c>
      <c r="G207" t="s">
        <v>22</v>
      </c>
      <c r="H207">
        <v>5</v>
      </c>
      <c r="I207" s="3">
        <v>365.81</v>
      </c>
      <c r="J207" s="4">
        <v>0</v>
      </c>
      <c r="K207" t="s">
        <v>27</v>
      </c>
      <c r="L207" t="s">
        <v>17</v>
      </c>
      <c r="M207">
        <f t="shared" si="21"/>
        <v>1829.05</v>
      </c>
    </row>
    <row r="208" spans="1:13" x14ac:dyDescent="0.2">
      <c r="A208" t="s">
        <v>345</v>
      </c>
      <c r="B208" s="2">
        <v>46121</v>
      </c>
      <c r="C208" s="2" t="str">
        <f t="shared" si="20"/>
        <v>April</v>
      </c>
      <c r="D208" t="s">
        <v>346</v>
      </c>
      <c r="E208" t="s">
        <v>47</v>
      </c>
      <c r="F208" t="s">
        <v>63</v>
      </c>
      <c r="G208" t="s">
        <v>22</v>
      </c>
      <c r="H208">
        <v>2</v>
      </c>
      <c r="I208" s="3">
        <v>1116.67</v>
      </c>
      <c r="J208" s="4">
        <v>0</v>
      </c>
      <c r="K208" t="s">
        <v>55</v>
      </c>
      <c r="L208" t="s">
        <v>74</v>
      </c>
      <c r="M208">
        <f t="shared" si="21"/>
        <v>2233.34</v>
      </c>
    </row>
    <row r="209" spans="1:13" x14ac:dyDescent="0.2">
      <c r="A209" t="s">
        <v>347</v>
      </c>
      <c r="B209" s="2">
        <v>46121</v>
      </c>
      <c r="C209" s="2" t="str">
        <f t="shared" si="20"/>
        <v>April</v>
      </c>
      <c r="D209" t="s">
        <v>286</v>
      </c>
      <c r="E209" t="s">
        <v>13</v>
      </c>
      <c r="F209" t="s">
        <v>114</v>
      </c>
      <c r="G209" t="s">
        <v>43</v>
      </c>
      <c r="H209">
        <v>1</v>
      </c>
      <c r="I209" s="3">
        <v>183.44</v>
      </c>
      <c r="J209" s="4">
        <v>0.1</v>
      </c>
      <c r="K209" t="s">
        <v>16</v>
      </c>
      <c r="L209" t="s">
        <v>74</v>
      </c>
      <c r="M209">
        <f t="shared" si="21"/>
        <v>165.096</v>
      </c>
    </row>
    <row r="210" spans="1:13" x14ac:dyDescent="0.2">
      <c r="A210" t="s">
        <v>348</v>
      </c>
      <c r="B210" s="2">
        <v>46122</v>
      </c>
      <c r="C210" s="2" t="str">
        <f t="shared" si="20"/>
        <v>April</v>
      </c>
      <c r="D210" t="s">
        <v>54</v>
      </c>
      <c r="E210" t="s">
        <v>47</v>
      </c>
      <c r="F210" t="s">
        <v>42</v>
      </c>
      <c r="G210" t="s">
        <v>43</v>
      </c>
      <c r="H210">
        <v>4</v>
      </c>
      <c r="I210" s="3">
        <v>267</v>
      </c>
      <c r="J210" s="4">
        <v>0.2</v>
      </c>
      <c r="K210" t="s">
        <v>16</v>
      </c>
      <c r="L210" t="s">
        <v>52</v>
      </c>
      <c r="M210">
        <f t="shared" si="21"/>
        <v>854.40000000000009</v>
      </c>
    </row>
    <row r="211" spans="1:13" x14ac:dyDescent="0.2">
      <c r="A211" t="s">
        <v>349</v>
      </c>
      <c r="B211" s="2">
        <v>46122</v>
      </c>
      <c r="C211" s="2" t="str">
        <f t="shared" si="20"/>
        <v>April</v>
      </c>
      <c r="D211" t="s">
        <v>121</v>
      </c>
      <c r="E211" t="s">
        <v>119</v>
      </c>
      <c r="F211" t="s">
        <v>38</v>
      </c>
      <c r="G211" t="s">
        <v>15</v>
      </c>
      <c r="H211">
        <v>1</v>
      </c>
      <c r="I211" s="3">
        <v>29.1</v>
      </c>
      <c r="J211" s="4">
        <v>0.1</v>
      </c>
      <c r="K211" t="s">
        <v>44</v>
      </c>
      <c r="L211" t="s">
        <v>74</v>
      </c>
      <c r="M211">
        <f t="shared" si="21"/>
        <v>26.19</v>
      </c>
    </row>
    <row r="212" spans="1:13" x14ac:dyDescent="0.2">
      <c r="A212" t="s">
        <v>350</v>
      </c>
      <c r="B212" s="2">
        <v>46122</v>
      </c>
      <c r="C212" s="2" t="str">
        <f t="shared" si="20"/>
        <v>April</v>
      </c>
      <c r="D212" t="s">
        <v>116</v>
      </c>
      <c r="E212" t="s">
        <v>90</v>
      </c>
      <c r="F212" t="s">
        <v>14</v>
      </c>
      <c r="G212" t="s">
        <v>15</v>
      </c>
      <c r="H212">
        <v>8</v>
      </c>
      <c r="I212" s="3">
        <v>62.61</v>
      </c>
      <c r="J212" s="4">
        <v>0</v>
      </c>
      <c r="K212" t="s">
        <v>27</v>
      </c>
      <c r="L212" t="s">
        <v>74</v>
      </c>
      <c r="M212">
        <f t="shared" si="21"/>
        <v>500.88</v>
      </c>
    </row>
    <row r="213" spans="1:13" x14ac:dyDescent="0.2">
      <c r="A213" t="s">
        <v>351</v>
      </c>
      <c r="B213" s="2">
        <v>46123</v>
      </c>
      <c r="C213" s="2" t="str">
        <f t="shared" si="20"/>
        <v>April</v>
      </c>
      <c r="D213" t="s">
        <v>352</v>
      </c>
      <c r="E213" t="s">
        <v>20</v>
      </c>
      <c r="F213" t="s">
        <v>85</v>
      </c>
      <c r="G213" t="s">
        <v>22</v>
      </c>
      <c r="H213">
        <v>1</v>
      </c>
      <c r="I213" s="3">
        <v>474.74</v>
      </c>
      <c r="J213" s="4">
        <v>0</v>
      </c>
      <c r="K213" t="s">
        <v>44</v>
      </c>
      <c r="L213" t="s">
        <v>74</v>
      </c>
      <c r="M213">
        <f t="shared" si="21"/>
        <v>474.74</v>
      </c>
    </row>
    <row r="214" spans="1:13" x14ac:dyDescent="0.2">
      <c r="A214" t="s">
        <v>353</v>
      </c>
      <c r="B214" s="2">
        <v>46124</v>
      </c>
      <c r="C214" s="2" t="str">
        <f t="shared" si="20"/>
        <v>April</v>
      </c>
      <c r="D214" t="s">
        <v>82</v>
      </c>
      <c r="E214" t="s">
        <v>67</v>
      </c>
      <c r="F214" t="s">
        <v>42</v>
      </c>
      <c r="G214" t="s">
        <v>43</v>
      </c>
      <c r="H214">
        <v>5</v>
      </c>
      <c r="I214" s="3">
        <v>272.25</v>
      </c>
      <c r="J214" s="4">
        <v>0</v>
      </c>
      <c r="K214" t="s">
        <v>23</v>
      </c>
      <c r="L214" t="s">
        <v>64</v>
      </c>
      <c r="M214">
        <f t="shared" si="21"/>
        <v>1361.25</v>
      </c>
    </row>
    <row r="215" spans="1:13" x14ac:dyDescent="0.2">
      <c r="A215" t="s">
        <v>354</v>
      </c>
      <c r="B215" s="2">
        <v>46124</v>
      </c>
      <c r="C215" s="2" t="str">
        <f t="shared" si="20"/>
        <v>April</v>
      </c>
      <c r="D215" t="s">
        <v>333</v>
      </c>
      <c r="E215" t="s">
        <v>13</v>
      </c>
      <c r="F215" t="s">
        <v>14</v>
      </c>
      <c r="G215" t="s">
        <v>15</v>
      </c>
      <c r="H215">
        <v>4</v>
      </c>
      <c r="I215" s="3">
        <v>59.12</v>
      </c>
      <c r="J215" s="4">
        <v>0</v>
      </c>
      <c r="K215" t="s">
        <v>16</v>
      </c>
      <c r="L215" t="s">
        <v>74</v>
      </c>
      <c r="M215">
        <f t="shared" si="21"/>
        <v>236.48</v>
      </c>
    </row>
    <row r="216" spans="1:13" x14ac:dyDescent="0.2">
      <c r="A216" t="s">
        <v>355</v>
      </c>
      <c r="B216" s="2">
        <v>46125</v>
      </c>
      <c r="C216" s="2" t="str">
        <f t="shared" si="20"/>
        <v>April</v>
      </c>
      <c r="D216" t="s">
        <v>249</v>
      </c>
      <c r="E216" t="s">
        <v>59</v>
      </c>
      <c r="F216" t="s">
        <v>38</v>
      </c>
      <c r="G216" t="s">
        <v>15</v>
      </c>
      <c r="H216">
        <v>8</v>
      </c>
      <c r="I216" s="3">
        <v>30.47</v>
      </c>
      <c r="J216" s="4">
        <v>0.1</v>
      </c>
      <c r="K216" t="s">
        <v>44</v>
      </c>
      <c r="L216" t="s">
        <v>32</v>
      </c>
      <c r="M216">
        <f t="shared" si="21"/>
        <v>219.38399999999999</v>
      </c>
    </row>
    <row r="217" spans="1:13" x14ac:dyDescent="0.2">
      <c r="A217" t="s">
        <v>356</v>
      </c>
      <c r="B217" s="2">
        <v>46125</v>
      </c>
      <c r="C217" s="2" t="str">
        <f t="shared" si="20"/>
        <v>April</v>
      </c>
      <c r="D217" t="s">
        <v>126</v>
      </c>
      <c r="E217" t="s">
        <v>67</v>
      </c>
      <c r="F217" t="s">
        <v>14</v>
      </c>
      <c r="G217" t="s">
        <v>15</v>
      </c>
      <c r="H217">
        <v>5</v>
      </c>
      <c r="I217" s="3">
        <v>64.47</v>
      </c>
      <c r="J217" s="4">
        <v>0</v>
      </c>
      <c r="K217" t="s">
        <v>16</v>
      </c>
      <c r="L217" t="s">
        <v>17</v>
      </c>
      <c r="M217">
        <f t="shared" si="21"/>
        <v>322.35000000000002</v>
      </c>
    </row>
    <row r="218" spans="1:13" x14ac:dyDescent="0.2">
      <c r="A218" t="s">
        <v>357</v>
      </c>
      <c r="B218" s="2">
        <v>46126</v>
      </c>
      <c r="C218" s="2" t="str">
        <f t="shared" si="20"/>
        <v>April</v>
      </c>
      <c r="D218" t="s">
        <v>157</v>
      </c>
      <c r="E218" t="s">
        <v>59</v>
      </c>
      <c r="F218" t="s">
        <v>38</v>
      </c>
      <c r="G218" t="s">
        <v>15</v>
      </c>
      <c r="H218">
        <v>2</v>
      </c>
      <c r="I218" s="3">
        <v>27.92</v>
      </c>
      <c r="J218" s="4">
        <v>0.05</v>
      </c>
      <c r="K218" t="s">
        <v>44</v>
      </c>
      <c r="L218" t="s">
        <v>28</v>
      </c>
      <c r="M218">
        <f t="shared" si="21"/>
        <v>53.048000000000002</v>
      </c>
    </row>
    <row r="219" spans="1:13" x14ac:dyDescent="0.2">
      <c r="A219" t="s">
        <v>358</v>
      </c>
      <c r="B219" s="2">
        <v>46126</v>
      </c>
      <c r="C219" s="2" t="str">
        <f t="shared" si="20"/>
        <v>April</v>
      </c>
      <c r="D219" t="s">
        <v>124</v>
      </c>
      <c r="E219" t="s">
        <v>31</v>
      </c>
      <c r="F219" t="s">
        <v>38</v>
      </c>
      <c r="G219" t="s">
        <v>15</v>
      </c>
      <c r="H219">
        <v>2</v>
      </c>
      <c r="I219" s="3">
        <v>30.98</v>
      </c>
      <c r="J219" s="4">
        <v>0</v>
      </c>
      <c r="K219" t="s">
        <v>44</v>
      </c>
      <c r="L219" t="s">
        <v>32</v>
      </c>
      <c r="M219">
        <f t="shared" si="21"/>
        <v>61.96</v>
      </c>
    </row>
    <row r="220" spans="1:13" x14ac:dyDescent="0.2">
      <c r="A220" t="s">
        <v>359</v>
      </c>
      <c r="B220" s="2">
        <v>46126</v>
      </c>
      <c r="C220" s="2" t="str">
        <f t="shared" si="20"/>
        <v>April</v>
      </c>
      <c r="D220" t="s">
        <v>325</v>
      </c>
      <c r="E220" t="s">
        <v>41</v>
      </c>
      <c r="F220" t="s">
        <v>21</v>
      </c>
      <c r="G220" t="s">
        <v>22</v>
      </c>
      <c r="H220">
        <v>5</v>
      </c>
      <c r="I220" s="3">
        <v>74.17</v>
      </c>
      <c r="J220" s="4">
        <v>0.15</v>
      </c>
      <c r="K220" t="s">
        <v>44</v>
      </c>
      <c r="L220" t="s">
        <v>56</v>
      </c>
      <c r="M220">
        <f t="shared" si="21"/>
        <v>315.22250000000003</v>
      </c>
    </row>
    <row r="221" spans="1:13" x14ac:dyDescent="0.2">
      <c r="A221" t="s">
        <v>360</v>
      </c>
      <c r="B221" s="2">
        <v>46126</v>
      </c>
      <c r="C221" s="2" t="str">
        <f t="shared" si="20"/>
        <v>April</v>
      </c>
      <c r="D221" t="s">
        <v>46</v>
      </c>
      <c r="E221" t="s">
        <v>59</v>
      </c>
      <c r="F221" t="s">
        <v>38</v>
      </c>
      <c r="G221" t="s">
        <v>15</v>
      </c>
      <c r="H221">
        <v>1</v>
      </c>
      <c r="I221" s="3">
        <v>30.39</v>
      </c>
      <c r="J221" s="4">
        <v>0.05</v>
      </c>
      <c r="K221" t="s">
        <v>16</v>
      </c>
      <c r="L221" t="s">
        <v>17</v>
      </c>
      <c r="M221">
        <f t="shared" si="21"/>
        <v>28.8705</v>
      </c>
    </row>
    <row r="222" spans="1:13" x14ac:dyDescent="0.2">
      <c r="A222" t="s">
        <v>361</v>
      </c>
      <c r="B222" s="2">
        <v>46127</v>
      </c>
      <c r="C222" s="2" t="str">
        <f t="shared" si="20"/>
        <v>April</v>
      </c>
      <c r="D222" t="s">
        <v>322</v>
      </c>
      <c r="E222" t="s">
        <v>20</v>
      </c>
      <c r="F222" t="s">
        <v>114</v>
      </c>
      <c r="G222" t="s">
        <v>43</v>
      </c>
      <c r="H222">
        <v>3</v>
      </c>
      <c r="I222" s="3">
        <v>169.63</v>
      </c>
      <c r="J222" s="4">
        <v>0.1</v>
      </c>
      <c r="K222" t="s">
        <v>44</v>
      </c>
      <c r="L222" t="s">
        <v>74</v>
      </c>
      <c r="M222">
        <f t="shared" si="21"/>
        <v>458.00099999999998</v>
      </c>
    </row>
    <row r="223" spans="1:13" x14ac:dyDescent="0.2">
      <c r="A223" t="s">
        <v>362</v>
      </c>
      <c r="B223" s="2">
        <v>46129</v>
      </c>
      <c r="C223" s="2" t="str">
        <f t="shared" si="20"/>
        <v>April</v>
      </c>
      <c r="D223" t="s">
        <v>300</v>
      </c>
      <c r="E223" t="s">
        <v>80</v>
      </c>
      <c r="F223" t="s">
        <v>63</v>
      </c>
      <c r="G223" t="s">
        <v>22</v>
      </c>
      <c r="H223">
        <v>2</v>
      </c>
      <c r="I223" s="3">
        <v>1202.24</v>
      </c>
      <c r="J223" s="4">
        <v>0.05</v>
      </c>
      <c r="K223" t="s">
        <v>27</v>
      </c>
      <c r="L223" t="s">
        <v>64</v>
      </c>
      <c r="M223">
        <f t="shared" si="21"/>
        <v>2284.2559999999999</v>
      </c>
    </row>
    <row r="224" spans="1:13" x14ac:dyDescent="0.2">
      <c r="A224" t="s">
        <v>363</v>
      </c>
      <c r="B224" s="2">
        <v>46129</v>
      </c>
      <c r="C224" s="2" t="str">
        <f t="shared" si="20"/>
        <v>April</v>
      </c>
      <c r="D224" t="s">
        <v>173</v>
      </c>
      <c r="E224" t="s">
        <v>31</v>
      </c>
      <c r="F224" t="s">
        <v>73</v>
      </c>
      <c r="G224" t="s">
        <v>43</v>
      </c>
      <c r="H224">
        <v>5</v>
      </c>
      <c r="I224" s="3">
        <v>227.33</v>
      </c>
      <c r="J224" s="4">
        <v>0.1</v>
      </c>
      <c r="K224" t="s">
        <v>16</v>
      </c>
      <c r="L224" t="s">
        <v>64</v>
      </c>
      <c r="M224">
        <f t="shared" si="21"/>
        <v>1022.9850000000001</v>
      </c>
    </row>
    <row r="225" spans="1:13" x14ac:dyDescent="0.2">
      <c r="A225" t="s">
        <v>364</v>
      </c>
      <c r="B225" s="2">
        <v>46129</v>
      </c>
      <c r="C225" s="2" t="str">
        <f t="shared" si="20"/>
        <v>April</v>
      </c>
      <c r="D225" t="s">
        <v>195</v>
      </c>
      <c r="E225" t="s">
        <v>26</v>
      </c>
      <c r="F225" t="s">
        <v>38</v>
      </c>
      <c r="G225" t="s">
        <v>15</v>
      </c>
      <c r="H225">
        <v>2</v>
      </c>
      <c r="I225" s="3">
        <v>30.75</v>
      </c>
      <c r="J225" s="4">
        <v>0.1</v>
      </c>
      <c r="K225" t="s">
        <v>44</v>
      </c>
      <c r="L225" t="s">
        <v>64</v>
      </c>
      <c r="M225">
        <f t="shared" si="21"/>
        <v>55.35</v>
      </c>
    </row>
    <row r="226" spans="1:13" x14ac:dyDescent="0.2">
      <c r="A226" t="s">
        <v>365</v>
      </c>
      <c r="B226" s="2">
        <v>46130</v>
      </c>
      <c r="C226" s="2" t="str">
        <f t="shared" si="20"/>
        <v>April</v>
      </c>
      <c r="D226" t="s">
        <v>157</v>
      </c>
      <c r="E226" t="s">
        <v>67</v>
      </c>
      <c r="F226" t="s">
        <v>38</v>
      </c>
      <c r="G226" t="s">
        <v>15</v>
      </c>
      <c r="H226">
        <v>4</v>
      </c>
      <c r="I226" s="3">
        <v>28.68</v>
      </c>
      <c r="J226" s="4">
        <v>0.05</v>
      </c>
      <c r="K226" t="s">
        <v>27</v>
      </c>
      <c r="L226" t="s">
        <v>70</v>
      </c>
      <c r="M226">
        <f t="shared" si="21"/>
        <v>108.98399999999999</v>
      </c>
    </row>
    <row r="227" spans="1:13" x14ac:dyDescent="0.2">
      <c r="A227" t="s">
        <v>366</v>
      </c>
      <c r="B227" s="2">
        <v>46130</v>
      </c>
      <c r="C227" s="2" t="str">
        <f t="shared" si="20"/>
        <v>April</v>
      </c>
      <c r="D227" t="s">
        <v>87</v>
      </c>
      <c r="E227" t="s">
        <v>59</v>
      </c>
      <c r="F227" t="s">
        <v>85</v>
      </c>
      <c r="G227" t="s">
        <v>22</v>
      </c>
      <c r="H227">
        <v>5</v>
      </c>
      <c r="I227" s="3">
        <v>469.86</v>
      </c>
      <c r="J227" s="4">
        <v>0.05</v>
      </c>
      <c r="K227" t="s">
        <v>16</v>
      </c>
      <c r="L227" t="s">
        <v>70</v>
      </c>
      <c r="M227">
        <f t="shared" si="21"/>
        <v>2231.835</v>
      </c>
    </row>
    <row r="228" spans="1:13" x14ac:dyDescent="0.2">
      <c r="A228" t="s">
        <v>367</v>
      </c>
      <c r="B228" s="2">
        <v>46131</v>
      </c>
      <c r="C228" s="2" t="str">
        <f t="shared" si="20"/>
        <v>April</v>
      </c>
      <c r="D228" t="s">
        <v>157</v>
      </c>
      <c r="E228" t="s">
        <v>13</v>
      </c>
      <c r="F228" t="s">
        <v>63</v>
      </c>
      <c r="G228" t="s">
        <v>22</v>
      </c>
      <c r="H228">
        <v>5</v>
      </c>
      <c r="I228" s="3">
        <v>1203.47</v>
      </c>
      <c r="J228" s="4">
        <v>0</v>
      </c>
      <c r="K228" t="s">
        <v>44</v>
      </c>
      <c r="L228" t="s">
        <v>64</v>
      </c>
      <c r="M228">
        <f t="shared" si="21"/>
        <v>6017.35</v>
      </c>
    </row>
    <row r="229" spans="1:13" x14ac:dyDescent="0.2">
      <c r="A229" t="s">
        <v>368</v>
      </c>
      <c r="B229" s="2">
        <v>46131</v>
      </c>
      <c r="C229" s="2" t="str">
        <f t="shared" si="20"/>
        <v>April</v>
      </c>
      <c r="D229" t="s">
        <v>286</v>
      </c>
      <c r="E229" t="s">
        <v>26</v>
      </c>
      <c r="F229" t="s">
        <v>38</v>
      </c>
      <c r="G229" t="s">
        <v>15</v>
      </c>
      <c r="H229">
        <v>3</v>
      </c>
      <c r="I229" s="3">
        <v>30.54</v>
      </c>
      <c r="J229" s="4">
        <v>0</v>
      </c>
      <c r="K229" t="s">
        <v>23</v>
      </c>
      <c r="L229" t="s">
        <v>32</v>
      </c>
      <c r="M229">
        <f t="shared" si="21"/>
        <v>91.62</v>
      </c>
    </row>
    <row r="230" spans="1:13" x14ac:dyDescent="0.2">
      <c r="A230" t="s">
        <v>369</v>
      </c>
      <c r="B230" s="2">
        <v>46131</v>
      </c>
      <c r="C230" s="2" t="str">
        <f t="shared" si="20"/>
        <v>April</v>
      </c>
      <c r="D230" t="s">
        <v>79</v>
      </c>
      <c r="E230" t="s">
        <v>13</v>
      </c>
      <c r="F230" t="s">
        <v>14</v>
      </c>
      <c r="G230" t="s">
        <v>15</v>
      </c>
      <c r="H230">
        <v>10</v>
      </c>
      <c r="I230" s="3">
        <v>61.81</v>
      </c>
      <c r="J230" s="4">
        <v>0.05</v>
      </c>
      <c r="K230" t="s">
        <v>44</v>
      </c>
      <c r="L230" t="s">
        <v>32</v>
      </c>
      <c r="M230">
        <f t="shared" si="21"/>
        <v>587.19500000000005</v>
      </c>
    </row>
    <row r="231" spans="1:13" x14ac:dyDescent="0.2">
      <c r="A231" t="s">
        <v>370</v>
      </c>
      <c r="B231" s="2">
        <v>46131</v>
      </c>
      <c r="C231" s="2" t="str">
        <f t="shared" si="20"/>
        <v>April</v>
      </c>
      <c r="D231" t="s">
        <v>157</v>
      </c>
      <c r="E231" t="s">
        <v>41</v>
      </c>
      <c r="F231" t="s">
        <v>14</v>
      </c>
      <c r="G231" t="s">
        <v>15</v>
      </c>
      <c r="H231">
        <v>5</v>
      </c>
      <c r="I231" s="3">
        <v>63.14</v>
      </c>
      <c r="J231" s="4">
        <v>0</v>
      </c>
      <c r="K231" t="s">
        <v>27</v>
      </c>
      <c r="L231" t="s">
        <v>74</v>
      </c>
      <c r="M231">
        <f t="shared" si="21"/>
        <v>315.7</v>
      </c>
    </row>
    <row r="232" spans="1:13" x14ac:dyDescent="0.2">
      <c r="A232" t="s">
        <v>371</v>
      </c>
      <c r="B232" s="2">
        <v>46132</v>
      </c>
      <c r="C232" s="2" t="str">
        <f t="shared" si="20"/>
        <v>April</v>
      </c>
      <c r="D232" t="s">
        <v>336</v>
      </c>
      <c r="E232" t="s">
        <v>67</v>
      </c>
      <c r="F232" t="s">
        <v>38</v>
      </c>
      <c r="G232" t="s">
        <v>15</v>
      </c>
      <c r="H232">
        <v>1</v>
      </c>
      <c r="I232" s="3">
        <v>29.48</v>
      </c>
      <c r="J232" s="4">
        <v>0</v>
      </c>
      <c r="K232" t="s">
        <v>44</v>
      </c>
      <c r="L232" t="s">
        <v>74</v>
      </c>
      <c r="M232">
        <f t="shared" si="21"/>
        <v>29.48</v>
      </c>
    </row>
    <row r="233" spans="1:13" x14ac:dyDescent="0.2">
      <c r="A233" t="s">
        <v>372</v>
      </c>
      <c r="B233" s="2">
        <v>46132</v>
      </c>
      <c r="C233" s="2" t="str">
        <f t="shared" si="20"/>
        <v>April</v>
      </c>
      <c r="D233" t="s">
        <v>147</v>
      </c>
      <c r="E233" t="s">
        <v>41</v>
      </c>
      <c r="F233" t="s">
        <v>38</v>
      </c>
      <c r="G233" t="s">
        <v>15</v>
      </c>
      <c r="H233">
        <v>1</v>
      </c>
      <c r="I233" s="3">
        <v>30.5</v>
      </c>
      <c r="J233" s="4">
        <v>0</v>
      </c>
      <c r="K233" t="s">
        <v>23</v>
      </c>
      <c r="L233" t="s">
        <v>28</v>
      </c>
      <c r="M233">
        <f t="shared" si="21"/>
        <v>30.5</v>
      </c>
    </row>
    <row r="234" spans="1:13" x14ac:dyDescent="0.2">
      <c r="A234" t="s">
        <v>373</v>
      </c>
      <c r="B234" s="2">
        <v>46132</v>
      </c>
      <c r="C234" s="2" t="str">
        <f t="shared" si="20"/>
        <v>April</v>
      </c>
      <c r="D234" t="s">
        <v>113</v>
      </c>
      <c r="E234" t="s">
        <v>67</v>
      </c>
      <c r="F234" t="s">
        <v>77</v>
      </c>
      <c r="G234" t="s">
        <v>22</v>
      </c>
      <c r="H234">
        <v>5</v>
      </c>
      <c r="I234" s="3">
        <v>349.28</v>
      </c>
      <c r="J234" s="4">
        <v>0.15</v>
      </c>
      <c r="K234" t="s">
        <v>16</v>
      </c>
      <c r="L234" t="s">
        <v>52</v>
      </c>
      <c r="M234">
        <f t="shared" si="21"/>
        <v>1484.4399999999998</v>
      </c>
    </row>
    <row r="235" spans="1:13" x14ac:dyDescent="0.2">
      <c r="A235" t="s">
        <v>374</v>
      </c>
      <c r="B235" s="2">
        <v>46134</v>
      </c>
      <c r="C235" s="2" t="str">
        <f t="shared" si="20"/>
        <v>April</v>
      </c>
      <c r="D235" t="s">
        <v>257</v>
      </c>
      <c r="E235" t="s">
        <v>20</v>
      </c>
      <c r="F235" t="s">
        <v>48</v>
      </c>
      <c r="G235" t="s">
        <v>15</v>
      </c>
      <c r="H235">
        <v>1</v>
      </c>
      <c r="I235" s="3">
        <v>87.06</v>
      </c>
      <c r="J235" s="4">
        <v>0</v>
      </c>
      <c r="K235" t="s">
        <v>27</v>
      </c>
      <c r="L235" t="s">
        <v>32</v>
      </c>
      <c r="M235">
        <f t="shared" si="21"/>
        <v>87.06</v>
      </c>
    </row>
    <row r="236" spans="1:13" x14ac:dyDescent="0.2">
      <c r="A236" t="s">
        <v>375</v>
      </c>
      <c r="B236" s="2">
        <v>46134</v>
      </c>
      <c r="C236" s="2" t="str">
        <f t="shared" si="20"/>
        <v>April</v>
      </c>
      <c r="D236" t="s">
        <v>137</v>
      </c>
      <c r="E236" t="s">
        <v>47</v>
      </c>
      <c r="F236" t="s">
        <v>114</v>
      </c>
      <c r="G236" t="s">
        <v>43</v>
      </c>
      <c r="H236">
        <v>3</v>
      </c>
      <c r="I236" s="3">
        <v>189.16</v>
      </c>
      <c r="J236" s="4">
        <v>0.15</v>
      </c>
      <c r="K236" t="s">
        <v>27</v>
      </c>
      <c r="L236" t="s">
        <v>28</v>
      </c>
      <c r="M236">
        <f t="shared" si="21"/>
        <v>482.358</v>
      </c>
    </row>
    <row r="237" spans="1:13" x14ac:dyDescent="0.2">
      <c r="A237" t="s">
        <v>376</v>
      </c>
      <c r="B237" s="2">
        <v>46135</v>
      </c>
      <c r="C237" s="2" t="str">
        <f t="shared" si="20"/>
        <v>April</v>
      </c>
      <c r="D237" t="s">
        <v>211</v>
      </c>
      <c r="E237" t="s">
        <v>93</v>
      </c>
      <c r="F237" t="s">
        <v>85</v>
      </c>
      <c r="G237" t="s">
        <v>22</v>
      </c>
      <c r="H237">
        <v>1</v>
      </c>
      <c r="I237" s="3">
        <v>484.07</v>
      </c>
      <c r="J237" s="4">
        <v>0.05</v>
      </c>
      <c r="K237" t="s">
        <v>44</v>
      </c>
      <c r="L237" t="s">
        <v>56</v>
      </c>
      <c r="M237">
        <f t="shared" si="21"/>
        <v>459.86649999999997</v>
      </c>
    </row>
    <row r="238" spans="1:13" x14ac:dyDescent="0.2">
      <c r="A238" t="s">
        <v>377</v>
      </c>
      <c r="B238" s="2">
        <v>46135</v>
      </c>
      <c r="C238" s="2" t="str">
        <f t="shared" si="20"/>
        <v>April</v>
      </c>
      <c r="D238" t="s">
        <v>66</v>
      </c>
      <c r="E238" t="s">
        <v>26</v>
      </c>
      <c r="F238" t="s">
        <v>77</v>
      </c>
      <c r="G238" t="s">
        <v>22</v>
      </c>
      <c r="H238">
        <v>4</v>
      </c>
      <c r="I238" s="3">
        <v>342.8</v>
      </c>
      <c r="J238" s="4">
        <v>0</v>
      </c>
      <c r="K238" t="s">
        <v>44</v>
      </c>
      <c r="L238" t="s">
        <v>56</v>
      </c>
      <c r="M238">
        <f t="shared" si="21"/>
        <v>1371.2</v>
      </c>
    </row>
    <row r="239" spans="1:13" x14ac:dyDescent="0.2">
      <c r="A239" t="s">
        <v>378</v>
      </c>
      <c r="B239" s="2">
        <v>46135</v>
      </c>
      <c r="C239" s="2" t="str">
        <f t="shared" si="20"/>
        <v>April</v>
      </c>
      <c r="D239" t="s">
        <v>151</v>
      </c>
      <c r="E239" t="s">
        <v>20</v>
      </c>
      <c r="F239" t="s">
        <v>38</v>
      </c>
      <c r="G239" t="s">
        <v>15</v>
      </c>
      <c r="H239">
        <v>6</v>
      </c>
      <c r="I239" s="3">
        <v>30.18</v>
      </c>
      <c r="J239" s="4">
        <v>0.05</v>
      </c>
      <c r="K239" t="s">
        <v>27</v>
      </c>
      <c r="L239" t="s">
        <v>28</v>
      </c>
      <c r="M239">
        <f t="shared" si="21"/>
        <v>172.02599999999998</v>
      </c>
    </row>
    <row r="240" spans="1:13" x14ac:dyDescent="0.2">
      <c r="A240" t="s">
        <v>379</v>
      </c>
      <c r="B240" s="2">
        <v>46135</v>
      </c>
      <c r="C240" s="2" t="str">
        <f t="shared" si="20"/>
        <v>April</v>
      </c>
      <c r="D240" t="s">
        <v>124</v>
      </c>
      <c r="E240" t="s">
        <v>35</v>
      </c>
      <c r="F240" t="s">
        <v>14</v>
      </c>
      <c r="G240" t="s">
        <v>15</v>
      </c>
      <c r="H240">
        <v>10</v>
      </c>
      <c r="I240" s="3">
        <v>61.44</v>
      </c>
      <c r="J240" s="4">
        <v>0.2</v>
      </c>
      <c r="K240" t="s">
        <v>27</v>
      </c>
      <c r="L240" t="s">
        <v>28</v>
      </c>
      <c r="M240">
        <f t="shared" si="21"/>
        <v>491.52</v>
      </c>
    </row>
    <row r="241" spans="1:13" x14ac:dyDescent="0.2">
      <c r="A241" t="s">
        <v>380</v>
      </c>
      <c r="B241" s="2">
        <v>46136</v>
      </c>
      <c r="C241" s="2" t="str">
        <f t="shared" si="20"/>
        <v>April</v>
      </c>
      <c r="D241" t="s">
        <v>76</v>
      </c>
      <c r="E241" t="s">
        <v>13</v>
      </c>
      <c r="F241" t="s">
        <v>14</v>
      </c>
      <c r="G241" t="s">
        <v>15</v>
      </c>
      <c r="H241">
        <v>1</v>
      </c>
      <c r="I241" s="3">
        <v>59.79</v>
      </c>
      <c r="J241" s="4">
        <v>0.15</v>
      </c>
      <c r="K241" t="s">
        <v>55</v>
      </c>
      <c r="L241" t="s">
        <v>52</v>
      </c>
      <c r="M241">
        <f t="shared" si="21"/>
        <v>50.8215</v>
      </c>
    </row>
    <row r="242" spans="1:13" x14ac:dyDescent="0.2">
      <c r="A242" t="s">
        <v>381</v>
      </c>
      <c r="B242" s="2">
        <v>46136</v>
      </c>
      <c r="C242" s="2" t="str">
        <f t="shared" si="20"/>
        <v>April</v>
      </c>
      <c r="D242" t="s">
        <v>195</v>
      </c>
      <c r="E242" t="s">
        <v>67</v>
      </c>
      <c r="F242" t="s">
        <v>63</v>
      </c>
      <c r="G242" t="s">
        <v>22</v>
      </c>
      <c r="H242">
        <v>10</v>
      </c>
      <c r="I242" s="3">
        <v>1244.93</v>
      </c>
      <c r="J242" s="4">
        <v>0</v>
      </c>
      <c r="K242" t="s">
        <v>16</v>
      </c>
      <c r="L242" t="s">
        <v>28</v>
      </c>
      <c r="M242">
        <f t="shared" si="21"/>
        <v>12449.300000000001</v>
      </c>
    </row>
    <row r="243" spans="1:13" x14ac:dyDescent="0.2">
      <c r="A243" t="s">
        <v>382</v>
      </c>
      <c r="B243" s="2">
        <v>46136</v>
      </c>
      <c r="C243" s="2" t="str">
        <f t="shared" si="20"/>
        <v>April</v>
      </c>
      <c r="D243" t="s">
        <v>25</v>
      </c>
      <c r="E243" t="s">
        <v>41</v>
      </c>
      <c r="F243" t="s">
        <v>42</v>
      </c>
      <c r="G243" t="s">
        <v>43</v>
      </c>
      <c r="H243">
        <v>3</v>
      </c>
      <c r="I243" s="3">
        <v>301.98</v>
      </c>
      <c r="J243" s="4">
        <v>0.1</v>
      </c>
      <c r="K243" t="s">
        <v>27</v>
      </c>
      <c r="L243" t="s">
        <v>17</v>
      </c>
      <c r="M243">
        <f t="shared" si="21"/>
        <v>815.34600000000012</v>
      </c>
    </row>
    <row r="244" spans="1:13" x14ac:dyDescent="0.2">
      <c r="A244" t="s">
        <v>383</v>
      </c>
      <c r="B244" s="2">
        <v>46137</v>
      </c>
      <c r="C244" s="2" t="str">
        <f t="shared" si="20"/>
        <v>April</v>
      </c>
      <c r="D244" t="s">
        <v>183</v>
      </c>
      <c r="E244" t="s">
        <v>90</v>
      </c>
      <c r="F244" t="s">
        <v>48</v>
      </c>
      <c r="G244" t="s">
        <v>15</v>
      </c>
      <c r="H244">
        <v>6</v>
      </c>
      <c r="I244" s="3">
        <v>88.92</v>
      </c>
      <c r="J244" s="4">
        <v>0.1</v>
      </c>
      <c r="K244" t="s">
        <v>27</v>
      </c>
      <c r="L244" t="s">
        <v>17</v>
      </c>
      <c r="M244">
        <f t="shared" si="21"/>
        <v>480.16800000000001</v>
      </c>
    </row>
    <row r="245" spans="1:13" x14ac:dyDescent="0.2">
      <c r="A245" t="s">
        <v>384</v>
      </c>
      <c r="B245" s="2">
        <v>46137</v>
      </c>
      <c r="C245" s="2" t="str">
        <f t="shared" si="20"/>
        <v>April</v>
      </c>
      <c r="D245" t="s">
        <v>247</v>
      </c>
      <c r="E245" t="s">
        <v>20</v>
      </c>
      <c r="F245" t="s">
        <v>14</v>
      </c>
      <c r="G245" t="s">
        <v>15</v>
      </c>
      <c r="H245">
        <v>1</v>
      </c>
      <c r="I245" s="3">
        <v>58.11</v>
      </c>
      <c r="J245" s="4">
        <v>0</v>
      </c>
      <c r="K245" t="s">
        <v>27</v>
      </c>
      <c r="L245" t="s">
        <v>52</v>
      </c>
      <c r="M245">
        <f t="shared" si="21"/>
        <v>58.11</v>
      </c>
    </row>
    <row r="246" spans="1:13" x14ac:dyDescent="0.2">
      <c r="A246" t="s">
        <v>385</v>
      </c>
      <c r="B246" s="2">
        <v>46137</v>
      </c>
      <c r="C246" s="2" t="str">
        <f t="shared" si="20"/>
        <v>April</v>
      </c>
      <c r="D246" t="s">
        <v>82</v>
      </c>
      <c r="E246" t="s">
        <v>80</v>
      </c>
      <c r="F246" t="s">
        <v>42</v>
      </c>
      <c r="G246" t="s">
        <v>43</v>
      </c>
      <c r="H246">
        <v>3</v>
      </c>
      <c r="I246" s="3">
        <v>272.22000000000003</v>
      </c>
      <c r="J246" s="4">
        <v>0</v>
      </c>
      <c r="K246" t="s">
        <v>55</v>
      </c>
      <c r="L246" t="s">
        <v>70</v>
      </c>
      <c r="M246">
        <f t="shared" si="21"/>
        <v>816.66000000000008</v>
      </c>
    </row>
    <row r="247" spans="1:13" x14ac:dyDescent="0.2">
      <c r="A247" t="s">
        <v>386</v>
      </c>
      <c r="B247" s="2">
        <v>46138</v>
      </c>
      <c r="C247" s="2" t="str">
        <f t="shared" si="20"/>
        <v>April</v>
      </c>
      <c r="D247" t="s">
        <v>25</v>
      </c>
      <c r="E247" t="s">
        <v>67</v>
      </c>
      <c r="F247" t="s">
        <v>38</v>
      </c>
      <c r="G247" t="s">
        <v>15</v>
      </c>
      <c r="H247">
        <v>2</v>
      </c>
      <c r="I247" s="3">
        <v>29.74</v>
      </c>
      <c r="J247" s="4">
        <v>0.2</v>
      </c>
      <c r="K247" t="s">
        <v>55</v>
      </c>
      <c r="L247" t="s">
        <v>64</v>
      </c>
      <c r="M247">
        <f t="shared" si="21"/>
        <v>47.584000000000003</v>
      </c>
    </row>
    <row r="248" spans="1:13" x14ac:dyDescent="0.2">
      <c r="A248" t="s">
        <v>387</v>
      </c>
      <c r="B248" s="2">
        <v>46138</v>
      </c>
      <c r="C248" s="2" t="str">
        <f t="shared" si="20"/>
        <v>April</v>
      </c>
      <c r="D248" t="s">
        <v>171</v>
      </c>
      <c r="E248" t="s">
        <v>119</v>
      </c>
      <c r="F248" t="s">
        <v>38</v>
      </c>
      <c r="G248" t="s">
        <v>15</v>
      </c>
      <c r="H248">
        <v>5</v>
      </c>
      <c r="I248" s="3">
        <v>31.24</v>
      </c>
      <c r="J248" s="4">
        <v>0.05</v>
      </c>
      <c r="K248" t="s">
        <v>16</v>
      </c>
      <c r="L248" t="s">
        <v>70</v>
      </c>
      <c r="M248">
        <f t="shared" si="21"/>
        <v>148.38999999999999</v>
      </c>
    </row>
    <row r="249" spans="1:13" x14ac:dyDescent="0.2">
      <c r="A249" t="s">
        <v>388</v>
      </c>
      <c r="B249" s="2">
        <v>46138</v>
      </c>
      <c r="C249" s="2" t="str">
        <f t="shared" si="20"/>
        <v>April</v>
      </c>
      <c r="D249" t="s">
        <v>145</v>
      </c>
      <c r="E249" t="s">
        <v>35</v>
      </c>
      <c r="F249" t="s">
        <v>85</v>
      </c>
      <c r="G249" t="s">
        <v>22</v>
      </c>
      <c r="H249">
        <v>3</v>
      </c>
      <c r="I249" s="3">
        <v>523</v>
      </c>
      <c r="J249" s="4">
        <v>0</v>
      </c>
      <c r="K249" t="s">
        <v>16</v>
      </c>
      <c r="L249" t="s">
        <v>32</v>
      </c>
      <c r="M249">
        <f t="shared" si="21"/>
        <v>1569</v>
      </c>
    </row>
    <row r="250" spans="1:13" x14ac:dyDescent="0.2">
      <c r="A250" t="s">
        <v>389</v>
      </c>
      <c r="B250" s="2">
        <v>46139</v>
      </c>
      <c r="C250" s="2" t="str">
        <f t="shared" si="20"/>
        <v>April</v>
      </c>
      <c r="D250" t="s">
        <v>204</v>
      </c>
      <c r="E250" t="s">
        <v>59</v>
      </c>
      <c r="F250" t="s">
        <v>14</v>
      </c>
      <c r="G250" t="s">
        <v>15</v>
      </c>
      <c r="H250">
        <v>2</v>
      </c>
      <c r="I250" s="3">
        <v>55.44</v>
      </c>
      <c r="J250" s="4">
        <v>0</v>
      </c>
      <c r="K250" t="s">
        <v>27</v>
      </c>
      <c r="L250" t="s">
        <v>52</v>
      </c>
      <c r="M250">
        <f t="shared" si="21"/>
        <v>110.88</v>
      </c>
    </row>
    <row r="251" spans="1:13" x14ac:dyDescent="0.2">
      <c r="A251" t="s">
        <v>390</v>
      </c>
      <c r="B251" s="2">
        <v>46139</v>
      </c>
      <c r="C251" s="2" t="str">
        <f t="shared" si="20"/>
        <v>April</v>
      </c>
      <c r="D251" t="s">
        <v>171</v>
      </c>
      <c r="E251" t="s">
        <v>13</v>
      </c>
      <c r="F251" t="s">
        <v>63</v>
      </c>
      <c r="G251" t="s">
        <v>22</v>
      </c>
      <c r="H251">
        <v>2</v>
      </c>
      <c r="I251" s="3">
        <v>1242.28</v>
      </c>
      <c r="J251" s="4">
        <v>0.05</v>
      </c>
      <c r="K251" t="s">
        <v>44</v>
      </c>
      <c r="L251" t="s">
        <v>56</v>
      </c>
      <c r="M251">
        <f t="shared" si="21"/>
        <v>2360.3319999999999</v>
      </c>
    </row>
    <row r="252" spans="1:13" x14ac:dyDescent="0.2">
      <c r="A252" t="s">
        <v>391</v>
      </c>
      <c r="B252" s="2">
        <v>46139</v>
      </c>
      <c r="C252" s="2" t="str">
        <f t="shared" si="20"/>
        <v>April</v>
      </c>
      <c r="D252" t="s">
        <v>200</v>
      </c>
      <c r="E252" t="s">
        <v>62</v>
      </c>
      <c r="F252" t="s">
        <v>38</v>
      </c>
      <c r="G252" t="s">
        <v>15</v>
      </c>
      <c r="H252">
        <v>1</v>
      </c>
      <c r="I252" s="3">
        <v>27.91</v>
      </c>
      <c r="J252" s="4">
        <v>0.05</v>
      </c>
      <c r="K252" t="s">
        <v>44</v>
      </c>
      <c r="L252" t="s">
        <v>17</v>
      </c>
      <c r="M252">
        <f t="shared" si="21"/>
        <v>26.514499999999998</v>
      </c>
    </row>
    <row r="253" spans="1:13" x14ac:dyDescent="0.2">
      <c r="A253" t="s">
        <v>392</v>
      </c>
      <c r="B253" s="2">
        <v>46139</v>
      </c>
      <c r="C253" s="2" t="str">
        <f t="shared" si="20"/>
        <v>April</v>
      </c>
      <c r="D253" t="s">
        <v>352</v>
      </c>
      <c r="E253" t="s">
        <v>41</v>
      </c>
      <c r="F253" t="s">
        <v>114</v>
      </c>
      <c r="G253" t="s">
        <v>43</v>
      </c>
      <c r="H253">
        <v>1</v>
      </c>
      <c r="I253" s="3">
        <v>181.75</v>
      </c>
      <c r="J253" s="4">
        <v>0.05</v>
      </c>
      <c r="K253" t="s">
        <v>55</v>
      </c>
      <c r="L253" t="s">
        <v>17</v>
      </c>
      <c r="M253">
        <f t="shared" si="21"/>
        <v>172.66249999999999</v>
      </c>
    </row>
    <row r="254" spans="1:13" x14ac:dyDescent="0.2">
      <c r="A254" t="s">
        <v>393</v>
      </c>
      <c r="B254" s="2">
        <v>46140</v>
      </c>
      <c r="C254" s="2" t="str">
        <f t="shared" si="20"/>
        <v>April</v>
      </c>
      <c r="D254" t="s">
        <v>333</v>
      </c>
      <c r="E254" t="s">
        <v>80</v>
      </c>
      <c r="F254" t="s">
        <v>14</v>
      </c>
      <c r="G254" t="s">
        <v>15</v>
      </c>
      <c r="H254">
        <v>4</v>
      </c>
      <c r="I254" s="3">
        <v>62.44</v>
      </c>
      <c r="J254" s="4">
        <v>0.05</v>
      </c>
      <c r="K254" t="s">
        <v>55</v>
      </c>
      <c r="L254" t="s">
        <v>74</v>
      </c>
      <c r="M254">
        <f t="shared" si="21"/>
        <v>237.27199999999999</v>
      </c>
    </row>
    <row r="255" spans="1:13" x14ac:dyDescent="0.2">
      <c r="A255" t="s">
        <v>394</v>
      </c>
      <c r="B255" s="2">
        <v>46140</v>
      </c>
      <c r="C255" s="2" t="str">
        <f t="shared" si="20"/>
        <v>April</v>
      </c>
      <c r="D255" t="s">
        <v>171</v>
      </c>
      <c r="E255" t="s">
        <v>20</v>
      </c>
      <c r="F255" t="s">
        <v>42</v>
      </c>
      <c r="G255" t="s">
        <v>43</v>
      </c>
      <c r="H255">
        <v>1</v>
      </c>
      <c r="I255" s="3">
        <v>264.26</v>
      </c>
      <c r="J255" s="4">
        <v>0.15</v>
      </c>
      <c r="K255" t="s">
        <v>16</v>
      </c>
      <c r="L255" t="s">
        <v>17</v>
      </c>
      <c r="M255">
        <f t="shared" si="21"/>
        <v>224.62099999999998</v>
      </c>
    </row>
    <row r="256" spans="1:13" x14ac:dyDescent="0.2">
      <c r="A256" t="s">
        <v>395</v>
      </c>
      <c r="B256" s="2">
        <v>46140</v>
      </c>
      <c r="C256" s="2" t="str">
        <f t="shared" si="20"/>
        <v>April</v>
      </c>
      <c r="D256" t="s">
        <v>149</v>
      </c>
      <c r="E256" t="s">
        <v>67</v>
      </c>
      <c r="F256" t="s">
        <v>63</v>
      </c>
      <c r="G256" t="s">
        <v>22</v>
      </c>
      <c r="H256">
        <v>3</v>
      </c>
      <c r="I256" s="3">
        <v>1219.51</v>
      </c>
      <c r="J256" s="4">
        <v>0.15</v>
      </c>
      <c r="K256" t="s">
        <v>55</v>
      </c>
      <c r="L256" t="s">
        <v>56</v>
      </c>
      <c r="M256">
        <f t="shared" si="21"/>
        <v>3109.7504999999996</v>
      </c>
    </row>
    <row r="257" spans="1:13" x14ac:dyDescent="0.2">
      <c r="A257" t="s">
        <v>396</v>
      </c>
      <c r="B257" s="2">
        <v>46141</v>
      </c>
      <c r="C257" s="2" t="str">
        <f t="shared" si="20"/>
        <v>April</v>
      </c>
      <c r="D257" t="s">
        <v>397</v>
      </c>
      <c r="E257" t="s">
        <v>93</v>
      </c>
      <c r="F257" t="s">
        <v>48</v>
      </c>
      <c r="G257" t="s">
        <v>15</v>
      </c>
      <c r="H257">
        <v>4</v>
      </c>
      <c r="I257" s="3">
        <v>85.68</v>
      </c>
      <c r="J257" s="4">
        <v>0.1</v>
      </c>
      <c r="K257" t="s">
        <v>44</v>
      </c>
      <c r="L257" t="s">
        <v>74</v>
      </c>
      <c r="M257">
        <f t="shared" si="21"/>
        <v>308.44800000000004</v>
      </c>
    </row>
    <row r="258" spans="1:13" x14ac:dyDescent="0.2">
      <c r="A258" t="s">
        <v>398</v>
      </c>
      <c r="B258" s="2">
        <v>46142</v>
      </c>
      <c r="C258" s="2" t="str">
        <f t="shared" si="20"/>
        <v>April</v>
      </c>
      <c r="D258" t="s">
        <v>333</v>
      </c>
      <c r="E258" t="s">
        <v>13</v>
      </c>
      <c r="F258" t="s">
        <v>73</v>
      </c>
      <c r="G258" t="s">
        <v>43</v>
      </c>
      <c r="H258">
        <v>3</v>
      </c>
      <c r="I258" s="3">
        <v>218.23</v>
      </c>
      <c r="J258" s="4">
        <v>0.05</v>
      </c>
      <c r="K258" t="s">
        <v>16</v>
      </c>
      <c r="L258" t="s">
        <v>52</v>
      </c>
      <c r="M258">
        <f t="shared" si="21"/>
        <v>621.95549999999992</v>
      </c>
    </row>
    <row r="259" spans="1:13" x14ac:dyDescent="0.2">
      <c r="A259" t="s">
        <v>399</v>
      </c>
      <c r="B259" s="2">
        <v>46142</v>
      </c>
      <c r="C259" s="2" t="str">
        <f t="shared" ref="C259:C322" si="22">TEXT(B259,"mmmm")</f>
        <v>April</v>
      </c>
      <c r="D259" t="s">
        <v>400</v>
      </c>
      <c r="E259" t="s">
        <v>90</v>
      </c>
      <c r="F259" t="s">
        <v>48</v>
      </c>
      <c r="G259" t="s">
        <v>15</v>
      </c>
      <c r="H259">
        <v>1</v>
      </c>
      <c r="I259" s="3">
        <v>93.5</v>
      </c>
      <c r="J259" s="4">
        <v>0.05</v>
      </c>
      <c r="K259" t="s">
        <v>44</v>
      </c>
      <c r="L259" t="s">
        <v>28</v>
      </c>
      <c r="M259">
        <f t="shared" ref="M259:M322" si="23">I259*H259*(1-J259)</f>
        <v>88.825000000000003</v>
      </c>
    </row>
    <row r="260" spans="1:13" x14ac:dyDescent="0.2">
      <c r="A260" t="s">
        <v>401</v>
      </c>
      <c r="B260" s="2">
        <v>46143</v>
      </c>
      <c r="C260" s="2" t="str">
        <f t="shared" si="22"/>
        <v>May</v>
      </c>
      <c r="D260" t="s">
        <v>137</v>
      </c>
      <c r="E260" t="s">
        <v>90</v>
      </c>
      <c r="F260" t="s">
        <v>114</v>
      </c>
      <c r="G260" t="s">
        <v>43</v>
      </c>
      <c r="H260">
        <v>6</v>
      </c>
      <c r="I260" s="3">
        <v>168.77</v>
      </c>
      <c r="J260" s="4">
        <v>0</v>
      </c>
      <c r="K260" t="s">
        <v>27</v>
      </c>
      <c r="L260" t="s">
        <v>52</v>
      </c>
      <c r="M260">
        <f t="shared" si="23"/>
        <v>1012.6200000000001</v>
      </c>
    </row>
    <row r="261" spans="1:13" x14ac:dyDescent="0.2">
      <c r="A261" t="s">
        <v>402</v>
      </c>
      <c r="B261" s="2">
        <v>46143</v>
      </c>
      <c r="C261" s="2" t="str">
        <f t="shared" si="22"/>
        <v>May</v>
      </c>
      <c r="D261" t="s">
        <v>76</v>
      </c>
      <c r="E261" t="s">
        <v>90</v>
      </c>
      <c r="F261" t="s">
        <v>63</v>
      </c>
      <c r="G261" t="s">
        <v>22</v>
      </c>
      <c r="H261">
        <v>2</v>
      </c>
      <c r="I261" s="3">
        <v>1156.1600000000001</v>
      </c>
      <c r="J261" s="4">
        <v>0.05</v>
      </c>
      <c r="K261" t="s">
        <v>27</v>
      </c>
      <c r="L261" t="s">
        <v>70</v>
      </c>
      <c r="M261">
        <f t="shared" si="23"/>
        <v>2196.7040000000002</v>
      </c>
    </row>
    <row r="262" spans="1:13" x14ac:dyDescent="0.2">
      <c r="A262" t="s">
        <v>403</v>
      </c>
      <c r="B262" s="2">
        <v>46143</v>
      </c>
      <c r="C262" s="2" t="str">
        <f t="shared" si="22"/>
        <v>May</v>
      </c>
      <c r="D262" t="s">
        <v>95</v>
      </c>
      <c r="E262" t="s">
        <v>13</v>
      </c>
      <c r="F262" t="s">
        <v>77</v>
      </c>
      <c r="G262" t="s">
        <v>22</v>
      </c>
      <c r="H262">
        <v>10</v>
      </c>
      <c r="I262" s="3">
        <v>352.24</v>
      </c>
      <c r="J262" s="4">
        <v>0.15</v>
      </c>
      <c r="K262" t="s">
        <v>55</v>
      </c>
      <c r="L262" t="s">
        <v>28</v>
      </c>
      <c r="M262">
        <f t="shared" si="23"/>
        <v>2994.04</v>
      </c>
    </row>
    <row r="263" spans="1:13" x14ac:dyDescent="0.2">
      <c r="A263" t="s">
        <v>404</v>
      </c>
      <c r="B263" s="2">
        <v>46143</v>
      </c>
      <c r="C263" s="2" t="str">
        <f t="shared" si="22"/>
        <v>May</v>
      </c>
      <c r="D263" t="s">
        <v>266</v>
      </c>
      <c r="E263" t="s">
        <v>41</v>
      </c>
      <c r="F263" t="s">
        <v>42</v>
      </c>
      <c r="G263" t="s">
        <v>43</v>
      </c>
      <c r="H263">
        <v>1</v>
      </c>
      <c r="I263" s="3">
        <v>285.08</v>
      </c>
      <c r="J263" s="4">
        <v>0.05</v>
      </c>
      <c r="K263" t="s">
        <v>23</v>
      </c>
      <c r="L263" t="s">
        <v>52</v>
      </c>
      <c r="M263">
        <f t="shared" si="23"/>
        <v>270.82599999999996</v>
      </c>
    </row>
    <row r="264" spans="1:13" x14ac:dyDescent="0.2">
      <c r="A264" t="s">
        <v>405</v>
      </c>
      <c r="B264" s="2">
        <v>46144</v>
      </c>
      <c r="C264" s="2" t="str">
        <f t="shared" si="22"/>
        <v>May</v>
      </c>
      <c r="D264" t="s">
        <v>82</v>
      </c>
      <c r="E264" t="s">
        <v>59</v>
      </c>
      <c r="F264" t="s">
        <v>63</v>
      </c>
      <c r="G264" t="s">
        <v>22</v>
      </c>
      <c r="H264">
        <v>1</v>
      </c>
      <c r="I264" s="3">
        <v>1271.3800000000001</v>
      </c>
      <c r="J264" s="4">
        <v>0</v>
      </c>
      <c r="K264" t="s">
        <v>55</v>
      </c>
      <c r="L264" t="s">
        <v>74</v>
      </c>
      <c r="M264">
        <f t="shared" si="23"/>
        <v>1271.3800000000001</v>
      </c>
    </row>
    <row r="265" spans="1:13" x14ac:dyDescent="0.2">
      <c r="A265" t="s">
        <v>406</v>
      </c>
      <c r="B265" s="2">
        <v>46144</v>
      </c>
      <c r="C265" s="2" t="str">
        <f t="shared" si="22"/>
        <v>May</v>
      </c>
      <c r="D265" t="s">
        <v>263</v>
      </c>
      <c r="E265" t="s">
        <v>41</v>
      </c>
      <c r="F265" t="s">
        <v>14</v>
      </c>
      <c r="G265" t="s">
        <v>15</v>
      </c>
      <c r="H265">
        <v>1</v>
      </c>
      <c r="I265" s="3">
        <v>56.45</v>
      </c>
      <c r="J265" s="4">
        <v>0.05</v>
      </c>
      <c r="K265" t="s">
        <v>55</v>
      </c>
      <c r="L265" t="s">
        <v>74</v>
      </c>
      <c r="M265">
        <f t="shared" si="23"/>
        <v>53.627499999999998</v>
      </c>
    </row>
    <row r="266" spans="1:13" x14ac:dyDescent="0.2">
      <c r="A266" t="s">
        <v>407</v>
      </c>
      <c r="B266" s="2">
        <v>46145</v>
      </c>
      <c r="C266" s="2" t="str">
        <f t="shared" si="22"/>
        <v>May</v>
      </c>
      <c r="D266" t="s">
        <v>211</v>
      </c>
      <c r="E266" t="s">
        <v>47</v>
      </c>
      <c r="F266" t="s">
        <v>48</v>
      </c>
      <c r="G266" t="s">
        <v>15</v>
      </c>
      <c r="H266">
        <v>3</v>
      </c>
      <c r="I266" s="3">
        <v>93.6</v>
      </c>
      <c r="J266" s="4">
        <v>0</v>
      </c>
      <c r="K266" t="s">
        <v>16</v>
      </c>
      <c r="L266" t="s">
        <v>56</v>
      </c>
      <c r="M266">
        <f t="shared" si="23"/>
        <v>280.79999999999995</v>
      </c>
    </row>
    <row r="267" spans="1:13" x14ac:dyDescent="0.2">
      <c r="A267" t="s">
        <v>408</v>
      </c>
      <c r="B267" s="2">
        <v>46146</v>
      </c>
      <c r="C267" s="2" t="str">
        <f t="shared" si="22"/>
        <v>May</v>
      </c>
      <c r="D267" t="s">
        <v>92</v>
      </c>
      <c r="E267" t="s">
        <v>59</v>
      </c>
      <c r="F267" t="s">
        <v>77</v>
      </c>
      <c r="G267" t="s">
        <v>22</v>
      </c>
      <c r="H267">
        <v>8</v>
      </c>
      <c r="I267" s="3">
        <v>336.5</v>
      </c>
      <c r="J267" s="4">
        <v>0.1</v>
      </c>
      <c r="K267" t="s">
        <v>44</v>
      </c>
      <c r="L267" t="s">
        <v>28</v>
      </c>
      <c r="M267">
        <f t="shared" si="23"/>
        <v>2422.8000000000002</v>
      </c>
    </row>
    <row r="268" spans="1:13" x14ac:dyDescent="0.2">
      <c r="A268" t="s">
        <v>409</v>
      </c>
      <c r="B268" s="2">
        <v>46146</v>
      </c>
      <c r="C268" s="2" t="str">
        <f t="shared" si="22"/>
        <v>May</v>
      </c>
      <c r="D268" t="s">
        <v>58</v>
      </c>
      <c r="E268" t="s">
        <v>93</v>
      </c>
      <c r="F268" t="s">
        <v>21</v>
      </c>
      <c r="G268" t="s">
        <v>22</v>
      </c>
      <c r="H268">
        <v>6</v>
      </c>
      <c r="I268" s="3">
        <v>77.09</v>
      </c>
      <c r="J268" s="4">
        <v>0</v>
      </c>
      <c r="K268" t="s">
        <v>55</v>
      </c>
      <c r="L268" t="s">
        <v>28</v>
      </c>
      <c r="M268">
        <f t="shared" si="23"/>
        <v>462.54</v>
      </c>
    </row>
    <row r="269" spans="1:13" x14ac:dyDescent="0.2">
      <c r="A269" t="s">
        <v>410</v>
      </c>
      <c r="B269" s="2">
        <v>46147</v>
      </c>
      <c r="C269" s="2" t="str">
        <f t="shared" si="22"/>
        <v>May</v>
      </c>
      <c r="D269" t="s">
        <v>30</v>
      </c>
      <c r="E269" t="s">
        <v>47</v>
      </c>
      <c r="F269" t="s">
        <v>48</v>
      </c>
      <c r="G269" t="s">
        <v>15</v>
      </c>
      <c r="H269">
        <v>6</v>
      </c>
      <c r="I269" s="3">
        <v>90.47</v>
      </c>
      <c r="J269" s="4">
        <v>0.05</v>
      </c>
      <c r="K269" t="s">
        <v>23</v>
      </c>
      <c r="L269" t="s">
        <v>70</v>
      </c>
      <c r="M269">
        <f t="shared" si="23"/>
        <v>515.67899999999986</v>
      </c>
    </row>
    <row r="270" spans="1:13" x14ac:dyDescent="0.2">
      <c r="A270" t="s">
        <v>411</v>
      </c>
      <c r="B270" s="2">
        <v>46148</v>
      </c>
      <c r="C270" s="2" t="str">
        <f t="shared" si="22"/>
        <v>May</v>
      </c>
      <c r="D270" t="s">
        <v>190</v>
      </c>
      <c r="E270" t="s">
        <v>31</v>
      </c>
      <c r="F270" t="s">
        <v>38</v>
      </c>
      <c r="G270" t="s">
        <v>15</v>
      </c>
      <c r="H270">
        <v>1</v>
      </c>
      <c r="I270" s="3">
        <v>28.8</v>
      </c>
      <c r="J270" s="4">
        <v>0</v>
      </c>
      <c r="K270" t="s">
        <v>16</v>
      </c>
      <c r="L270" t="s">
        <v>74</v>
      </c>
      <c r="M270">
        <f t="shared" si="23"/>
        <v>28.8</v>
      </c>
    </row>
    <row r="271" spans="1:13" x14ac:dyDescent="0.2">
      <c r="A271" t="s">
        <v>412</v>
      </c>
      <c r="B271" s="2">
        <v>46148</v>
      </c>
      <c r="C271" s="2" t="str">
        <f t="shared" si="22"/>
        <v>May</v>
      </c>
      <c r="D271" t="s">
        <v>238</v>
      </c>
      <c r="E271" t="s">
        <v>47</v>
      </c>
      <c r="F271" t="s">
        <v>48</v>
      </c>
      <c r="G271" t="s">
        <v>15</v>
      </c>
      <c r="H271">
        <v>3</v>
      </c>
      <c r="I271" s="3">
        <v>95.62</v>
      </c>
      <c r="J271" s="4">
        <v>0.1</v>
      </c>
      <c r="K271" t="s">
        <v>16</v>
      </c>
      <c r="L271" t="s">
        <v>52</v>
      </c>
      <c r="M271">
        <f t="shared" si="23"/>
        <v>258.17400000000004</v>
      </c>
    </row>
    <row r="272" spans="1:13" x14ac:dyDescent="0.2">
      <c r="A272" t="s">
        <v>413</v>
      </c>
      <c r="B272" s="2">
        <v>46149</v>
      </c>
      <c r="C272" s="2" t="str">
        <f t="shared" si="22"/>
        <v>May</v>
      </c>
      <c r="D272" t="s">
        <v>247</v>
      </c>
      <c r="E272" t="s">
        <v>26</v>
      </c>
      <c r="F272" t="s">
        <v>85</v>
      </c>
      <c r="G272" t="s">
        <v>22</v>
      </c>
      <c r="H272">
        <v>3</v>
      </c>
      <c r="I272" s="3">
        <v>508.98</v>
      </c>
      <c r="J272" s="4">
        <v>0.1</v>
      </c>
      <c r="K272" t="s">
        <v>55</v>
      </c>
      <c r="L272" t="s">
        <v>17</v>
      </c>
      <c r="M272">
        <f t="shared" si="23"/>
        <v>1374.2460000000001</v>
      </c>
    </row>
    <row r="273" spans="1:13" x14ac:dyDescent="0.2">
      <c r="A273" t="s">
        <v>414</v>
      </c>
      <c r="B273" s="2">
        <v>46150</v>
      </c>
      <c r="C273" s="2" t="str">
        <f t="shared" si="22"/>
        <v>May</v>
      </c>
      <c r="D273" t="s">
        <v>40</v>
      </c>
      <c r="E273" t="s">
        <v>51</v>
      </c>
      <c r="F273" t="s">
        <v>14</v>
      </c>
      <c r="G273" t="s">
        <v>15</v>
      </c>
      <c r="H273">
        <v>3</v>
      </c>
      <c r="I273" s="3">
        <v>61.83</v>
      </c>
      <c r="J273" s="4">
        <v>0</v>
      </c>
      <c r="K273" t="s">
        <v>27</v>
      </c>
      <c r="L273" t="s">
        <v>32</v>
      </c>
      <c r="M273">
        <f t="shared" si="23"/>
        <v>185.49</v>
      </c>
    </row>
    <row r="274" spans="1:13" x14ac:dyDescent="0.2">
      <c r="A274" t="s">
        <v>415</v>
      </c>
      <c r="B274" s="2">
        <v>46150</v>
      </c>
      <c r="C274" s="2" t="str">
        <f t="shared" si="22"/>
        <v>May</v>
      </c>
      <c r="D274" t="s">
        <v>352</v>
      </c>
      <c r="E274" t="s">
        <v>26</v>
      </c>
      <c r="F274" t="s">
        <v>77</v>
      </c>
      <c r="G274" t="s">
        <v>22</v>
      </c>
      <c r="H274">
        <v>1</v>
      </c>
      <c r="I274" s="3">
        <v>323.48</v>
      </c>
      <c r="J274" s="4">
        <v>0.05</v>
      </c>
      <c r="K274" t="s">
        <v>55</v>
      </c>
      <c r="L274" t="s">
        <v>17</v>
      </c>
      <c r="M274">
        <f t="shared" si="23"/>
        <v>307.30599999999998</v>
      </c>
    </row>
    <row r="275" spans="1:13" x14ac:dyDescent="0.2">
      <c r="A275" t="s">
        <v>416</v>
      </c>
      <c r="B275" s="2">
        <v>46150</v>
      </c>
      <c r="C275" s="2" t="str">
        <f t="shared" si="22"/>
        <v>May</v>
      </c>
      <c r="D275" t="s">
        <v>118</v>
      </c>
      <c r="E275" t="s">
        <v>31</v>
      </c>
      <c r="F275" t="s">
        <v>77</v>
      </c>
      <c r="G275" t="s">
        <v>22</v>
      </c>
      <c r="H275">
        <v>3</v>
      </c>
      <c r="I275" s="3">
        <v>376.43</v>
      </c>
      <c r="J275" s="4">
        <v>0.05</v>
      </c>
      <c r="K275" t="s">
        <v>16</v>
      </c>
      <c r="L275" t="s">
        <v>56</v>
      </c>
      <c r="M275">
        <f t="shared" si="23"/>
        <v>1072.8254999999999</v>
      </c>
    </row>
    <row r="276" spans="1:13" x14ac:dyDescent="0.2">
      <c r="A276" t="s">
        <v>417</v>
      </c>
      <c r="B276" s="2">
        <v>46150</v>
      </c>
      <c r="C276" s="2" t="str">
        <f t="shared" si="22"/>
        <v>May</v>
      </c>
      <c r="D276" t="s">
        <v>204</v>
      </c>
      <c r="E276" t="s">
        <v>67</v>
      </c>
      <c r="F276" t="s">
        <v>38</v>
      </c>
      <c r="G276" t="s">
        <v>15</v>
      </c>
      <c r="H276">
        <v>5</v>
      </c>
      <c r="I276" s="3">
        <v>31.42</v>
      </c>
      <c r="J276" s="4">
        <v>0.05</v>
      </c>
      <c r="K276" t="s">
        <v>27</v>
      </c>
      <c r="L276" t="s">
        <v>70</v>
      </c>
      <c r="M276">
        <f t="shared" si="23"/>
        <v>149.245</v>
      </c>
    </row>
    <row r="277" spans="1:13" x14ac:dyDescent="0.2">
      <c r="A277" t="s">
        <v>418</v>
      </c>
      <c r="B277" s="2">
        <v>46151</v>
      </c>
      <c r="C277" s="2" t="str">
        <f t="shared" si="22"/>
        <v>May</v>
      </c>
      <c r="D277" t="s">
        <v>82</v>
      </c>
      <c r="E277" t="s">
        <v>90</v>
      </c>
      <c r="F277" t="s">
        <v>85</v>
      </c>
      <c r="G277" t="s">
        <v>22</v>
      </c>
      <c r="H277">
        <v>2</v>
      </c>
      <c r="I277" s="3">
        <v>487.61</v>
      </c>
      <c r="J277" s="4">
        <v>0</v>
      </c>
      <c r="K277" t="s">
        <v>23</v>
      </c>
      <c r="L277" t="s">
        <v>74</v>
      </c>
      <c r="M277">
        <f t="shared" si="23"/>
        <v>975.22</v>
      </c>
    </row>
    <row r="278" spans="1:13" x14ac:dyDescent="0.2">
      <c r="A278" t="s">
        <v>419</v>
      </c>
      <c r="B278" s="2">
        <v>46151</v>
      </c>
      <c r="C278" s="2" t="str">
        <f t="shared" si="22"/>
        <v>May</v>
      </c>
      <c r="D278" t="s">
        <v>25</v>
      </c>
      <c r="E278" t="s">
        <v>80</v>
      </c>
      <c r="F278" t="s">
        <v>38</v>
      </c>
      <c r="G278" t="s">
        <v>15</v>
      </c>
      <c r="H278">
        <v>2</v>
      </c>
      <c r="I278" s="3">
        <v>28.35</v>
      </c>
      <c r="J278" s="4">
        <v>0.05</v>
      </c>
      <c r="K278" t="s">
        <v>44</v>
      </c>
      <c r="L278" t="s">
        <v>17</v>
      </c>
      <c r="M278">
        <f t="shared" si="23"/>
        <v>53.865000000000002</v>
      </c>
    </row>
    <row r="279" spans="1:13" x14ac:dyDescent="0.2">
      <c r="A279" t="s">
        <v>420</v>
      </c>
      <c r="B279" s="2">
        <v>46151</v>
      </c>
      <c r="C279" s="2" t="str">
        <f t="shared" si="22"/>
        <v>May</v>
      </c>
      <c r="D279" t="s">
        <v>25</v>
      </c>
      <c r="E279" t="s">
        <v>80</v>
      </c>
      <c r="F279" t="s">
        <v>42</v>
      </c>
      <c r="G279" t="s">
        <v>43</v>
      </c>
      <c r="H279">
        <v>1</v>
      </c>
      <c r="I279" s="3">
        <v>301.05</v>
      </c>
      <c r="J279" s="4">
        <v>0.05</v>
      </c>
      <c r="K279" t="s">
        <v>16</v>
      </c>
      <c r="L279" t="s">
        <v>70</v>
      </c>
      <c r="M279">
        <f t="shared" si="23"/>
        <v>285.9975</v>
      </c>
    </row>
    <row r="280" spans="1:13" x14ac:dyDescent="0.2">
      <c r="A280" t="s">
        <v>421</v>
      </c>
      <c r="B280" s="2">
        <v>46152</v>
      </c>
      <c r="C280" s="2" t="str">
        <f t="shared" si="22"/>
        <v>May</v>
      </c>
      <c r="D280" t="s">
        <v>34</v>
      </c>
      <c r="E280" t="s">
        <v>93</v>
      </c>
      <c r="F280" t="s">
        <v>77</v>
      </c>
      <c r="G280" t="s">
        <v>22</v>
      </c>
      <c r="H280">
        <v>1</v>
      </c>
      <c r="I280" s="3">
        <v>340.05</v>
      </c>
      <c r="J280" s="4">
        <v>0.2</v>
      </c>
      <c r="K280" t="s">
        <v>16</v>
      </c>
      <c r="L280" t="s">
        <v>56</v>
      </c>
      <c r="M280">
        <f t="shared" si="23"/>
        <v>272.04000000000002</v>
      </c>
    </row>
    <row r="281" spans="1:13" x14ac:dyDescent="0.2">
      <c r="A281" t="s">
        <v>422</v>
      </c>
      <c r="B281" s="2">
        <v>46152</v>
      </c>
      <c r="C281" s="2" t="str">
        <f t="shared" si="22"/>
        <v>May</v>
      </c>
      <c r="D281" t="s">
        <v>151</v>
      </c>
      <c r="E281" t="s">
        <v>59</v>
      </c>
      <c r="F281" t="s">
        <v>14</v>
      </c>
      <c r="G281" t="s">
        <v>15</v>
      </c>
      <c r="H281">
        <v>5</v>
      </c>
      <c r="I281" s="3">
        <v>55.37</v>
      </c>
      <c r="J281" s="4">
        <v>0</v>
      </c>
      <c r="K281" t="s">
        <v>44</v>
      </c>
      <c r="L281" t="s">
        <v>70</v>
      </c>
      <c r="M281">
        <f t="shared" si="23"/>
        <v>276.84999999999997</v>
      </c>
    </row>
    <row r="282" spans="1:13" x14ac:dyDescent="0.2">
      <c r="A282" t="s">
        <v>423</v>
      </c>
      <c r="B282" s="2">
        <v>46152</v>
      </c>
      <c r="C282" s="2" t="str">
        <f t="shared" si="22"/>
        <v>May</v>
      </c>
      <c r="D282" t="s">
        <v>204</v>
      </c>
      <c r="E282" t="s">
        <v>26</v>
      </c>
      <c r="F282" t="s">
        <v>21</v>
      </c>
      <c r="G282" t="s">
        <v>22</v>
      </c>
      <c r="H282">
        <v>4</v>
      </c>
      <c r="I282" s="3">
        <v>69.13</v>
      </c>
      <c r="J282" s="4">
        <v>0.1</v>
      </c>
      <c r="K282" t="s">
        <v>16</v>
      </c>
      <c r="L282" t="s">
        <v>28</v>
      </c>
      <c r="M282">
        <f t="shared" si="23"/>
        <v>248.86799999999999</v>
      </c>
    </row>
    <row r="283" spans="1:13" x14ac:dyDescent="0.2">
      <c r="A283" t="s">
        <v>424</v>
      </c>
      <c r="B283" s="2">
        <v>46153</v>
      </c>
      <c r="C283" s="2" t="str">
        <f t="shared" si="22"/>
        <v>May</v>
      </c>
      <c r="D283" t="s">
        <v>145</v>
      </c>
      <c r="E283" t="s">
        <v>20</v>
      </c>
      <c r="F283" t="s">
        <v>114</v>
      </c>
      <c r="G283" t="s">
        <v>43</v>
      </c>
      <c r="H283">
        <v>4</v>
      </c>
      <c r="I283" s="3">
        <v>187.52</v>
      </c>
      <c r="J283" s="4">
        <v>0.1</v>
      </c>
      <c r="K283" t="s">
        <v>16</v>
      </c>
      <c r="L283" t="s">
        <v>17</v>
      </c>
      <c r="M283">
        <f t="shared" si="23"/>
        <v>675.072</v>
      </c>
    </row>
    <row r="284" spans="1:13" x14ac:dyDescent="0.2">
      <c r="A284" t="s">
        <v>425</v>
      </c>
      <c r="B284" s="2">
        <v>46153</v>
      </c>
      <c r="C284" s="2" t="str">
        <f t="shared" si="22"/>
        <v>May</v>
      </c>
      <c r="D284" t="s">
        <v>97</v>
      </c>
      <c r="E284" t="s">
        <v>62</v>
      </c>
      <c r="F284" t="s">
        <v>14</v>
      </c>
      <c r="G284" t="s">
        <v>15</v>
      </c>
      <c r="H284">
        <v>1</v>
      </c>
      <c r="I284" s="3">
        <v>63.78</v>
      </c>
      <c r="J284" s="4">
        <v>0</v>
      </c>
      <c r="K284" t="s">
        <v>27</v>
      </c>
      <c r="L284" t="s">
        <v>32</v>
      </c>
      <c r="M284">
        <f t="shared" si="23"/>
        <v>63.78</v>
      </c>
    </row>
    <row r="285" spans="1:13" x14ac:dyDescent="0.2">
      <c r="A285" t="s">
        <v>426</v>
      </c>
      <c r="B285" s="2">
        <v>46153</v>
      </c>
      <c r="C285" s="2" t="str">
        <f t="shared" si="22"/>
        <v>May</v>
      </c>
      <c r="D285" t="s">
        <v>76</v>
      </c>
      <c r="E285" t="s">
        <v>51</v>
      </c>
      <c r="F285" t="s">
        <v>73</v>
      </c>
      <c r="G285" t="s">
        <v>43</v>
      </c>
      <c r="H285">
        <v>1</v>
      </c>
      <c r="I285" s="3">
        <v>205.01</v>
      </c>
      <c r="J285" s="4">
        <v>0.05</v>
      </c>
      <c r="K285" t="s">
        <v>27</v>
      </c>
      <c r="L285" t="s">
        <v>32</v>
      </c>
      <c r="M285">
        <f t="shared" si="23"/>
        <v>194.75949999999997</v>
      </c>
    </row>
    <row r="286" spans="1:13" x14ac:dyDescent="0.2">
      <c r="A286" t="s">
        <v>427</v>
      </c>
      <c r="B286" s="2">
        <v>46154</v>
      </c>
      <c r="C286" s="2" t="str">
        <f t="shared" si="22"/>
        <v>May</v>
      </c>
      <c r="D286" t="s">
        <v>140</v>
      </c>
      <c r="E286" t="s">
        <v>13</v>
      </c>
      <c r="F286" t="s">
        <v>14</v>
      </c>
      <c r="G286" t="s">
        <v>15</v>
      </c>
      <c r="H286">
        <v>6</v>
      </c>
      <c r="I286" s="3">
        <v>60.61</v>
      </c>
      <c r="J286" s="4">
        <v>0.05</v>
      </c>
      <c r="K286" t="s">
        <v>16</v>
      </c>
      <c r="L286" t="s">
        <v>70</v>
      </c>
      <c r="M286">
        <f t="shared" si="23"/>
        <v>345.47699999999998</v>
      </c>
    </row>
    <row r="287" spans="1:13" x14ac:dyDescent="0.2">
      <c r="A287" t="s">
        <v>428</v>
      </c>
      <c r="B287" s="2">
        <v>46154</v>
      </c>
      <c r="C287" s="2" t="str">
        <f t="shared" si="22"/>
        <v>May</v>
      </c>
      <c r="D287" t="s">
        <v>339</v>
      </c>
      <c r="E287" t="s">
        <v>41</v>
      </c>
      <c r="F287" t="s">
        <v>21</v>
      </c>
      <c r="G287" t="s">
        <v>22</v>
      </c>
      <c r="H287">
        <v>8</v>
      </c>
      <c r="I287" s="3">
        <v>74.03</v>
      </c>
      <c r="J287" s="4">
        <v>0.15</v>
      </c>
      <c r="K287" t="s">
        <v>55</v>
      </c>
      <c r="L287" t="s">
        <v>70</v>
      </c>
      <c r="M287">
        <f t="shared" si="23"/>
        <v>503.404</v>
      </c>
    </row>
    <row r="288" spans="1:13" x14ac:dyDescent="0.2">
      <c r="A288" t="s">
        <v>429</v>
      </c>
      <c r="B288" s="2">
        <v>46155</v>
      </c>
      <c r="C288" s="2" t="str">
        <f t="shared" si="22"/>
        <v>May</v>
      </c>
      <c r="D288" t="s">
        <v>164</v>
      </c>
      <c r="E288" t="s">
        <v>80</v>
      </c>
      <c r="F288" t="s">
        <v>114</v>
      </c>
      <c r="G288" t="s">
        <v>43</v>
      </c>
      <c r="H288">
        <v>3</v>
      </c>
      <c r="I288" s="3">
        <v>171.06</v>
      </c>
      <c r="J288" s="4">
        <v>0.05</v>
      </c>
      <c r="K288" t="s">
        <v>16</v>
      </c>
      <c r="L288" t="s">
        <v>64</v>
      </c>
      <c r="M288">
        <f t="shared" si="23"/>
        <v>487.52100000000002</v>
      </c>
    </row>
    <row r="289" spans="1:13" x14ac:dyDescent="0.2">
      <c r="A289" t="s">
        <v>430</v>
      </c>
      <c r="B289" s="2">
        <v>46157</v>
      </c>
      <c r="C289" s="2" t="str">
        <f t="shared" si="22"/>
        <v>May</v>
      </c>
      <c r="D289" t="s">
        <v>72</v>
      </c>
      <c r="E289" t="s">
        <v>93</v>
      </c>
      <c r="F289" t="s">
        <v>14</v>
      </c>
      <c r="G289" t="s">
        <v>15</v>
      </c>
      <c r="H289">
        <v>2</v>
      </c>
      <c r="I289" s="3">
        <v>61.44</v>
      </c>
      <c r="J289" s="4">
        <v>0.1</v>
      </c>
      <c r="K289" t="s">
        <v>27</v>
      </c>
      <c r="L289" t="s">
        <v>17</v>
      </c>
      <c r="M289">
        <f t="shared" si="23"/>
        <v>110.592</v>
      </c>
    </row>
    <row r="290" spans="1:13" x14ac:dyDescent="0.2">
      <c r="A290" t="s">
        <v>431</v>
      </c>
      <c r="B290" s="2">
        <v>46157</v>
      </c>
      <c r="C290" s="2" t="str">
        <f t="shared" si="22"/>
        <v>May</v>
      </c>
      <c r="D290" t="s">
        <v>99</v>
      </c>
      <c r="E290" t="s">
        <v>59</v>
      </c>
      <c r="F290" t="s">
        <v>63</v>
      </c>
      <c r="G290" t="s">
        <v>22</v>
      </c>
      <c r="H290">
        <v>2</v>
      </c>
      <c r="I290" s="3">
        <v>1110.97</v>
      </c>
      <c r="J290" s="4">
        <v>0</v>
      </c>
      <c r="K290" t="s">
        <v>55</v>
      </c>
      <c r="L290" t="s">
        <v>28</v>
      </c>
      <c r="M290">
        <f t="shared" si="23"/>
        <v>2221.94</v>
      </c>
    </row>
    <row r="291" spans="1:13" x14ac:dyDescent="0.2">
      <c r="A291" t="s">
        <v>432</v>
      </c>
      <c r="B291" s="2">
        <v>46157</v>
      </c>
      <c r="C291" s="2" t="str">
        <f t="shared" si="22"/>
        <v>May</v>
      </c>
      <c r="D291" t="s">
        <v>99</v>
      </c>
      <c r="E291" t="s">
        <v>119</v>
      </c>
      <c r="F291" t="s">
        <v>38</v>
      </c>
      <c r="G291" t="s">
        <v>15</v>
      </c>
      <c r="H291">
        <v>2</v>
      </c>
      <c r="I291" s="3">
        <v>30.44</v>
      </c>
      <c r="J291" s="4">
        <v>0.05</v>
      </c>
      <c r="K291" t="s">
        <v>27</v>
      </c>
      <c r="L291" t="s">
        <v>17</v>
      </c>
      <c r="M291">
        <f t="shared" si="23"/>
        <v>57.835999999999999</v>
      </c>
    </row>
    <row r="292" spans="1:13" x14ac:dyDescent="0.2">
      <c r="A292" t="s">
        <v>433</v>
      </c>
      <c r="B292" s="2">
        <v>46158</v>
      </c>
      <c r="C292" s="2" t="str">
        <f t="shared" si="22"/>
        <v>May</v>
      </c>
      <c r="D292" t="s">
        <v>135</v>
      </c>
      <c r="E292" t="s">
        <v>47</v>
      </c>
      <c r="F292" t="s">
        <v>77</v>
      </c>
      <c r="G292" t="s">
        <v>22</v>
      </c>
      <c r="H292">
        <v>3</v>
      </c>
      <c r="I292" s="3">
        <v>353.18</v>
      </c>
      <c r="J292" s="4">
        <v>0.15</v>
      </c>
      <c r="K292" t="s">
        <v>16</v>
      </c>
      <c r="L292" t="s">
        <v>52</v>
      </c>
      <c r="M292">
        <f t="shared" si="23"/>
        <v>900.60899999999992</v>
      </c>
    </row>
    <row r="293" spans="1:13" x14ac:dyDescent="0.2">
      <c r="A293" t="s">
        <v>434</v>
      </c>
      <c r="B293" s="2">
        <v>46158</v>
      </c>
      <c r="C293" s="2" t="str">
        <f t="shared" si="22"/>
        <v>May</v>
      </c>
      <c r="D293" t="s">
        <v>149</v>
      </c>
      <c r="E293" t="s">
        <v>51</v>
      </c>
      <c r="F293" t="s">
        <v>48</v>
      </c>
      <c r="G293" t="s">
        <v>15</v>
      </c>
      <c r="H293">
        <v>2</v>
      </c>
      <c r="I293" s="3">
        <v>88.09</v>
      </c>
      <c r="J293" s="4">
        <v>0</v>
      </c>
      <c r="K293" t="s">
        <v>55</v>
      </c>
      <c r="L293" t="s">
        <v>56</v>
      </c>
      <c r="M293">
        <f t="shared" si="23"/>
        <v>176.18</v>
      </c>
    </row>
    <row r="294" spans="1:13" x14ac:dyDescent="0.2">
      <c r="A294" t="s">
        <v>435</v>
      </c>
      <c r="B294" s="2">
        <v>46159</v>
      </c>
      <c r="C294" s="2" t="str">
        <f t="shared" si="22"/>
        <v>May</v>
      </c>
      <c r="D294" t="s">
        <v>157</v>
      </c>
      <c r="E294" t="s">
        <v>80</v>
      </c>
      <c r="F294" t="s">
        <v>63</v>
      </c>
      <c r="G294" t="s">
        <v>22</v>
      </c>
      <c r="H294">
        <v>3</v>
      </c>
      <c r="I294" s="3">
        <v>1175.8900000000001</v>
      </c>
      <c r="J294" s="4">
        <v>0.1</v>
      </c>
      <c r="K294" t="s">
        <v>27</v>
      </c>
      <c r="L294" t="s">
        <v>28</v>
      </c>
      <c r="M294">
        <f t="shared" si="23"/>
        <v>3174.9030000000002</v>
      </c>
    </row>
    <row r="295" spans="1:13" x14ac:dyDescent="0.2">
      <c r="A295" t="s">
        <v>436</v>
      </c>
      <c r="B295" s="2">
        <v>46160</v>
      </c>
      <c r="C295" s="2" t="str">
        <f t="shared" si="22"/>
        <v>May</v>
      </c>
      <c r="D295" t="s">
        <v>79</v>
      </c>
      <c r="E295" t="s">
        <v>47</v>
      </c>
      <c r="F295" t="s">
        <v>42</v>
      </c>
      <c r="G295" t="s">
        <v>43</v>
      </c>
      <c r="H295">
        <v>8</v>
      </c>
      <c r="I295" s="3">
        <v>282.94</v>
      </c>
      <c r="J295" s="4">
        <v>0</v>
      </c>
      <c r="K295" t="s">
        <v>16</v>
      </c>
      <c r="L295" t="s">
        <v>32</v>
      </c>
      <c r="M295">
        <f t="shared" si="23"/>
        <v>2263.52</v>
      </c>
    </row>
    <row r="296" spans="1:13" x14ac:dyDescent="0.2">
      <c r="A296" t="s">
        <v>437</v>
      </c>
      <c r="B296" s="2">
        <v>46160</v>
      </c>
      <c r="C296" s="2" t="str">
        <f t="shared" si="22"/>
        <v>May</v>
      </c>
      <c r="D296" t="s">
        <v>187</v>
      </c>
      <c r="E296" t="s">
        <v>47</v>
      </c>
      <c r="F296" t="s">
        <v>48</v>
      </c>
      <c r="G296" t="s">
        <v>15</v>
      </c>
      <c r="H296">
        <v>1</v>
      </c>
      <c r="I296" s="3">
        <v>94.41</v>
      </c>
      <c r="J296" s="4">
        <v>0.05</v>
      </c>
      <c r="K296" t="s">
        <v>27</v>
      </c>
      <c r="L296" t="s">
        <v>17</v>
      </c>
      <c r="M296">
        <f t="shared" si="23"/>
        <v>89.689499999999995</v>
      </c>
    </row>
    <row r="297" spans="1:13" x14ac:dyDescent="0.2">
      <c r="A297" t="s">
        <v>438</v>
      </c>
      <c r="B297" s="2">
        <v>46161</v>
      </c>
      <c r="C297" s="2" t="str">
        <f t="shared" si="22"/>
        <v>May</v>
      </c>
      <c r="D297" t="s">
        <v>140</v>
      </c>
      <c r="E297" t="s">
        <v>119</v>
      </c>
      <c r="F297" t="s">
        <v>73</v>
      </c>
      <c r="G297" t="s">
        <v>43</v>
      </c>
      <c r="H297">
        <v>3</v>
      </c>
      <c r="I297" s="3">
        <v>232.02</v>
      </c>
      <c r="J297" s="4">
        <v>0</v>
      </c>
      <c r="K297" t="s">
        <v>44</v>
      </c>
      <c r="L297" t="s">
        <v>32</v>
      </c>
      <c r="M297">
        <f t="shared" si="23"/>
        <v>696.06000000000006</v>
      </c>
    </row>
    <row r="298" spans="1:13" x14ac:dyDescent="0.2">
      <c r="A298" t="s">
        <v>439</v>
      </c>
      <c r="B298" s="2">
        <v>46162</v>
      </c>
      <c r="C298" s="2" t="str">
        <f t="shared" si="22"/>
        <v>May</v>
      </c>
      <c r="D298" t="s">
        <v>143</v>
      </c>
      <c r="E298" t="s">
        <v>13</v>
      </c>
      <c r="F298" t="s">
        <v>48</v>
      </c>
      <c r="G298" t="s">
        <v>15</v>
      </c>
      <c r="H298">
        <v>3</v>
      </c>
      <c r="I298" s="3">
        <v>84.14</v>
      </c>
      <c r="J298" s="4">
        <v>0</v>
      </c>
      <c r="K298" t="s">
        <v>44</v>
      </c>
      <c r="L298" t="s">
        <v>70</v>
      </c>
      <c r="M298">
        <f t="shared" si="23"/>
        <v>252.42000000000002</v>
      </c>
    </row>
    <row r="299" spans="1:13" x14ac:dyDescent="0.2">
      <c r="A299" t="s">
        <v>440</v>
      </c>
      <c r="B299" s="2">
        <v>46162</v>
      </c>
      <c r="C299" s="2" t="str">
        <f t="shared" si="22"/>
        <v>May</v>
      </c>
      <c r="D299" t="s">
        <v>149</v>
      </c>
      <c r="E299" t="s">
        <v>67</v>
      </c>
      <c r="F299" t="s">
        <v>85</v>
      </c>
      <c r="G299" t="s">
        <v>22</v>
      </c>
      <c r="H299">
        <v>6</v>
      </c>
      <c r="I299" s="3">
        <v>502.67</v>
      </c>
      <c r="J299" s="4">
        <v>0.1</v>
      </c>
      <c r="K299" t="s">
        <v>44</v>
      </c>
      <c r="L299" t="s">
        <v>70</v>
      </c>
      <c r="M299">
        <f t="shared" si="23"/>
        <v>2714.4180000000001</v>
      </c>
    </row>
    <row r="300" spans="1:13" x14ac:dyDescent="0.2">
      <c r="A300" t="s">
        <v>441</v>
      </c>
      <c r="B300" s="2">
        <v>46163</v>
      </c>
      <c r="C300" s="2" t="str">
        <f t="shared" si="22"/>
        <v>May</v>
      </c>
      <c r="D300" t="s">
        <v>352</v>
      </c>
      <c r="E300" t="s">
        <v>90</v>
      </c>
      <c r="F300" t="s">
        <v>38</v>
      </c>
      <c r="G300" t="s">
        <v>15</v>
      </c>
      <c r="H300">
        <v>3</v>
      </c>
      <c r="I300" s="3">
        <v>30.83</v>
      </c>
      <c r="J300" s="4">
        <v>0</v>
      </c>
      <c r="K300" t="s">
        <v>55</v>
      </c>
      <c r="L300" t="s">
        <v>70</v>
      </c>
      <c r="M300">
        <f t="shared" si="23"/>
        <v>92.49</v>
      </c>
    </row>
    <row r="301" spans="1:13" x14ac:dyDescent="0.2">
      <c r="A301" t="s">
        <v>442</v>
      </c>
      <c r="B301" s="2">
        <v>46164</v>
      </c>
      <c r="C301" s="2" t="str">
        <f t="shared" si="22"/>
        <v>May</v>
      </c>
      <c r="D301" t="s">
        <v>336</v>
      </c>
      <c r="E301" t="s">
        <v>41</v>
      </c>
      <c r="F301" t="s">
        <v>114</v>
      </c>
      <c r="G301" t="s">
        <v>43</v>
      </c>
      <c r="H301">
        <v>1</v>
      </c>
      <c r="I301" s="3">
        <v>193.66</v>
      </c>
      <c r="J301" s="4">
        <v>0.15</v>
      </c>
      <c r="K301" t="s">
        <v>16</v>
      </c>
      <c r="L301" t="s">
        <v>32</v>
      </c>
      <c r="M301">
        <f t="shared" si="23"/>
        <v>164.61099999999999</v>
      </c>
    </row>
    <row r="302" spans="1:13" x14ac:dyDescent="0.2">
      <c r="A302" t="s">
        <v>443</v>
      </c>
      <c r="B302" s="2">
        <v>46164</v>
      </c>
      <c r="C302" s="2" t="str">
        <f t="shared" si="22"/>
        <v>May</v>
      </c>
      <c r="D302" t="s">
        <v>111</v>
      </c>
      <c r="E302" t="s">
        <v>26</v>
      </c>
      <c r="F302" t="s">
        <v>73</v>
      </c>
      <c r="G302" t="s">
        <v>43</v>
      </c>
      <c r="H302">
        <v>2</v>
      </c>
      <c r="I302" s="3">
        <v>230.02</v>
      </c>
      <c r="J302" s="4">
        <v>0</v>
      </c>
      <c r="K302" t="s">
        <v>44</v>
      </c>
      <c r="L302" t="s">
        <v>70</v>
      </c>
      <c r="M302">
        <f t="shared" si="23"/>
        <v>460.04</v>
      </c>
    </row>
    <row r="303" spans="1:13" x14ac:dyDescent="0.2">
      <c r="A303" t="s">
        <v>444</v>
      </c>
      <c r="B303" s="2">
        <v>46164</v>
      </c>
      <c r="C303" s="2" t="str">
        <f t="shared" si="22"/>
        <v>May</v>
      </c>
      <c r="D303" t="s">
        <v>95</v>
      </c>
      <c r="E303" t="s">
        <v>51</v>
      </c>
      <c r="F303" t="s">
        <v>38</v>
      </c>
      <c r="G303" t="s">
        <v>15</v>
      </c>
      <c r="H303">
        <v>4</v>
      </c>
      <c r="I303" s="3">
        <v>28.13</v>
      </c>
      <c r="J303" s="4">
        <v>0</v>
      </c>
      <c r="K303" t="s">
        <v>55</v>
      </c>
      <c r="L303" t="s">
        <v>64</v>
      </c>
      <c r="M303">
        <f t="shared" si="23"/>
        <v>112.52</v>
      </c>
    </row>
    <row r="304" spans="1:13" x14ac:dyDescent="0.2">
      <c r="A304" t="s">
        <v>445</v>
      </c>
      <c r="B304" s="2">
        <v>46164</v>
      </c>
      <c r="C304" s="2" t="str">
        <f t="shared" si="22"/>
        <v>May</v>
      </c>
      <c r="D304" t="s">
        <v>121</v>
      </c>
      <c r="E304" t="s">
        <v>47</v>
      </c>
      <c r="F304" t="s">
        <v>73</v>
      </c>
      <c r="G304" t="s">
        <v>43</v>
      </c>
      <c r="H304">
        <v>3</v>
      </c>
      <c r="I304" s="3">
        <v>223.47</v>
      </c>
      <c r="J304" s="4">
        <v>0.15</v>
      </c>
      <c r="K304" t="s">
        <v>27</v>
      </c>
      <c r="L304" t="s">
        <v>56</v>
      </c>
      <c r="M304">
        <f t="shared" si="23"/>
        <v>569.84849999999994</v>
      </c>
    </row>
    <row r="305" spans="1:13" x14ac:dyDescent="0.2">
      <c r="A305" t="s">
        <v>446</v>
      </c>
      <c r="B305" s="2">
        <v>46164</v>
      </c>
      <c r="C305" s="2" t="str">
        <f t="shared" si="22"/>
        <v>May</v>
      </c>
      <c r="D305" t="s">
        <v>76</v>
      </c>
      <c r="E305" t="s">
        <v>47</v>
      </c>
      <c r="F305" t="s">
        <v>14</v>
      </c>
      <c r="G305" t="s">
        <v>15</v>
      </c>
      <c r="H305">
        <v>6</v>
      </c>
      <c r="I305" s="3">
        <v>62.01</v>
      </c>
      <c r="J305" s="4">
        <v>0.1</v>
      </c>
      <c r="K305" t="s">
        <v>27</v>
      </c>
      <c r="L305" t="s">
        <v>32</v>
      </c>
      <c r="M305">
        <f t="shared" si="23"/>
        <v>334.85399999999998</v>
      </c>
    </row>
    <row r="306" spans="1:13" x14ac:dyDescent="0.2">
      <c r="A306" t="s">
        <v>447</v>
      </c>
      <c r="B306" s="2">
        <v>46165</v>
      </c>
      <c r="C306" s="2" t="str">
        <f t="shared" si="22"/>
        <v>May</v>
      </c>
      <c r="D306" t="s">
        <v>190</v>
      </c>
      <c r="E306" t="s">
        <v>90</v>
      </c>
      <c r="F306" t="s">
        <v>114</v>
      </c>
      <c r="G306" t="s">
        <v>43</v>
      </c>
      <c r="H306">
        <v>1</v>
      </c>
      <c r="I306" s="3">
        <v>184.11</v>
      </c>
      <c r="J306" s="4">
        <v>0</v>
      </c>
      <c r="K306" t="s">
        <v>23</v>
      </c>
      <c r="L306" t="s">
        <v>64</v>
      </c>
      <c r="M306">
        <f t="shared" si="23"/>
        <v>184.11</v>
      </c>
    </row>
    <row r="307" spans="1:13" x14ac:dyDescent="0.2">
      <c r="A307" t="s">
        <v>448</v>
      </c>
      <c r="B307" s="2">
        <v>46165</v>
      </c>
      <c r="C307" s="2" t="str">
        <f t="shared" si="22"/>
        <v>May</v>
      </c>
      <c r="D307" t="s">
        <v>266</v>
      </c>
      <c r="E307" t="s">
        <v>59</v>
      </c>
      <c r="F307" t="s">
        <v>38</v>
      </c>
      <c r="G307" t="s">
        <v>15</v>
      </c>
      <c r="H307">
        <v>4</v>
      </c>
      <c r="I307" s="3">
        <v>27.98</v>
      </c>
      <c r="J307" s="4">
        <v>0</v>
      </c>
      <c r="K307" t="s">
        <v>23</v>
      </c>
      <c r="L307" t="s">
        <v>70</v>
      </c>
      <c r="M307">
        <f t="shared" si="23"/>
        <v>111.92</v>
      </c>
    </row>
    <row r="308" spans="1:13" x14ac:dyDescent="0.2">
      <c r="A308" t="s">
        <v>449</v>
      </c>
      <c r="B308" s="2">
        <v>46166</v>
      </c>
      <c r="C308" s="2" t="str">
        <f t="shared" si="22"/>
        <v>May</v>
      </c>
      <c r="D308" t="s">
        <v>95</v>
      </c>
      <c r="E308" t="s">
        <v>80</v>
      </c>
      <c r="F308" t="s">
        <v>114</v>
      </c>
      <c r="G308" t="s">
        <v>43</v>
      </c>
      <c r="H308">
        <v>2</v>
      </c>
      <c r="I308" s="3">
        <v>188.51</v>
      </c>
      <c r="J308" s="4">
        <v>0.05</v>
      </c>
      <c r="K308" t="s">
        <v>55</v>
      </c>
      <c r="L308" t="s">
        <v>32</v>
      </c>
      <c r="M308">
        <f t="shared" si="23"/>
        <v>358.16899999999998</v>
      </c>
    </row>
    <row r="309" spans="1:13" x14ac:dyDescent="0.2">
      <c r="A309" t="s">
        <v>450</v>
      </c>
      <c r="B309" s="2">
        <v>46166</v>
      </c>
      <c r="C309" s="2" t="str">
        <f t="shared" si="22"/>
        <v>May</v>
      </c>
      <c r="D309" t="s">
        <v>352</v>
      </c>
      <c r="E309" t="s">
        <v>20</v>
      </c>
      <c r="F309" t="s">
        <v>38</v>
      </c>
      <c r="G309" t="s">
        <v>15</v>
      </c>
      <c r="H309">
        <v>1</v>
      </c>
      <c r="I309" s="3">
        <v>32.020000000000003</v>
      </c>
      <c r="J309" s="4">
        <v>0.05</v>
      </c>
      <c r="K309" t="s">
        <v>23</v>
      </c>
      <c r="L309" t="s">
        <v>32</v>
      </c>
      <c r="M309">
        <f t="shared" si="23"/>
        <v>30.419</v>
      </c>
    </row>
    <row r="310" spans="1:13" x14ac:dyDescent="0.2">
      <c r="A310" t="s">
        <v>451</v>
      </c>
      <c r="B310" s="2">
        <v>46167</v>
      </c>
      <c r="C310" s="2" t="str">
        <f t="shared" si="22"/>
        <v>May</v>
      </c>
      <c r="D310" t="s">
        <v>235</v>
      </c>
      <c r="E310" t="s">
        <v>31</v>
      </c>
      <c r="F310" t="s">
        <v>14</v>
      </c>
      <c r="G310" t="s">
        <v>15</v>
      </c>
      <c r="H310">
        <v>3</v>
      </c>
      <c r="I310" s="3">
        <v>63.65</v>
      </c>
      <c r="J310" s="4">
        <v>0.1</v>
      </c>
      <c r="K310" t="s">
        <v>16</v>
      </c>
      <c r="L310" t="s">
        <v>52</v>
      </c>
      <c r="M310">
        <f t="shared" si="23"/>
        <v>171.85499999999999</v>
      </c>
    </row>
    <row r="311" spans="1:13" x14ac:dyDescent="0.2">
      <c r="A311" t="s">
        <v>452</v>
      </c>
      <c r="B311" s="2">
        <v>46167</v>
      </c>
      <c r="C311" s="2" t="str">
        <f t="shared" si="22"/>
        <v>May</v>
      </c>
      <c r="D311" t="s">
        <v>40</v>
      </c>
      <c r="E311" t="s">
        <v>31</v>
      </c>
      <c r="F311" t="s">
        <v>114</v>
      </c>
      <c r="G311" t="s">
        <v>43</v>
      </c>
      <c r="H311">
        <v>2</v>
      </c>
      <c r="I311" s="3">
        <v>191.62</v>
      </c>
      <c r="J311" s="4">
        <v>0.1</v>
      </c>
      <c r="K311" t="s">
        <v>44</v>
      </c>
      <c r="L311" t="s">
        <v>52</v>
      </c>
      <c r="M311">
        <f t="shared" si="23"/>
        <v>344.916</v>
      </c>
    </row>
    <row r="312" spans="1:13" x14ac:dyDescent="0.2">
      <c r="A312" t="s">
        <v>453</v>
      </c>
      <c r="B312" s="2">
        <v>46167</v>
      </c>
      <c r="C312" s="2" t="str">
        <f t="shared" si="22"/>
        <v>May</v>
      </c>
      <c r="D312" t="s">
        <v>50</v>
      </c>
      <c r="E312" t="s">
        <v>67</v>
      </c>
      <c r="F312" t="s">
        <v>73</v>
      </c>
      <c r="G312" t="s">
        <v>43</v>
      </c>
      <c r="H312">
        <v>1</v>
      </c>
      <c r="I312" s="3">
        <v>203.79</v>
      </c>
      <c r="J312" s="4">
        <v>0</v>
      </c>
      <c r="K312" t="s">
        <v>44</v>
      </c>
      <c r="L312" t="s">
        <v>70</v>
      </c>
      <c r="M312">
        <f t="shared" si="23"/>
        <v>203.79</v>
      </c>
    </row>
    <row r="313" spans="1:13" x14ac:dyDescent="0.2">
      <c r="A313" t="s">
        <v>454</v>
      </c>
      <c r="B313" s="2">
        <v>46167</v>
      </c>
      <c r="C313" s="2" t="str">
        <f t="shared" si="22"/>
        <v>May</v>
      </c>
      <c r="D313" t="s">
        <v>30</v>
      </c>
      <c r="E313" t="s">
        <v>59</v>
      </c>
      <c r="F313" t="s">
        <v>38</v>
      </c>
      <c r="G313" t="s">
        <v>15</v>
      </c>
      <c r="H313">
        <v>2</v>
      </c>
      <c r="I313" s="3">
        <v>30.84</v>
      </c>
      <c r="J313" s="4">
        <v>0.15</v>
      </c>
      <c r="K313" t="s">
        <v>23</v>
      </c>
      <c r="L313" t="s">
        <v>74</v>
      </c>
      <c r="M313">
        <f t="shared" si="23"/>
        <v>52.427999999999997</v>
      </c>
    </row>
    <row r="314" spans="1:13" x14ac:dyDescent="0.2">
      <c r="A314" t="s">
        <v>455</v>
      </c>
      <c r="B314" s="2">
        <v>46168</v>
      </c>
      <c r="C314" s="2" t="str">
        <f t="shared" si="22"/>
        <v>May</v>
      </c>
      <c r="D314" t="s">
        <v>456</v>
      </c>
      <c r="E314" t="s">
        <v>41</v>
      </c>
      <c r="F314" t="s">
        <v>85</v>
      </c>
      <c r="G314" t="s">
        <v>22</v>
      </c>
      <c r="H314">
        <v>2</v>
      </c>
      <c r="I314" s="3">
        <v>527.55999999999995</v>
      </c>
      <c r="J314" s="4">
        <v>0.1</v>
      </c>
      <c r="K314" t="s">
        <v>27</v>
      </c>
      <c r="L314" t="s">
        <v>28</v>
      </c>
      <c r="M314">
        <f t="shared" si="23"/>
        <v>949.60799999999995</v>
      </c>
    </row>
    <row r="315" spans="1:13" x14ac:dyDescent="0.2">
      <c r="A315" t="s">
        <v>457</v>
      </c>
      <c r="B315" s="2">
        <v>46168</v>
      </c>
      <c r="C315" s="2" t="str">
        <f t="shared" si="22"/>
        <v>May</v>
      </c>
      <c r="D315" t="s">
        <v>72</v>
      </c>
      <c r="E315" t="s">
        <v>41</v>
      </c>
      <c r="F315" t="s">
        <v>63</v>
      </c>
      <c r="G315" t="s">
        <v>22</v>
      </c>
      <c r="H315">
        <v>1</v>
      </c>
      <c r="I315" s="3">
        <v>1218.6300000000001</v>
      </c>
      <c r="J315" s="4">
        <v>0</v>
      </c>
      <c r="K315" t="s">
        <v>16</v>
      </c>
      <c r="L315" t="s">
        <v>70</v>
      </c>
      <c r="M315">
        <f t="shared" si="23"/>
        <v>1218.6300000000001</v>
      </c>
    </row>
    <row r="316" spans="1:13" x14ac:dyDescent="0.2">
      <c r="A316" t="s">
        <v>458</v>
      </c>
      <c r="B316" s="2">
        <v>46169</v>
      </c>
      <c r="C316" s="2" t="str">
        <f t="shared" si="22"/>
        <v>May</v>
      </c>
      <c r="D316" t="s">
        <v>30</v>
      </c>
      <c r="E316" t="s">
        <v>93</v>
      </c>
      <c r="F316" t="s">
        <v>85</v>
      </c>
      <c r="G316" t="s">
        <v>22</v>
      </c>
      <c r="H316">
        <v>6</v>
      </c>
      <c r="I316" s="3">
        <v>461.22</v>
      </c>
      <c r="J316" s="4">
        <v>0</v>
      </c>
      <c r="K316" t="s">
        <v>16</v>
      </c>
      <c r="L316" t="s">
        <v>74</v>
      </c>
      <c r="M316">
        <f t="shared" si="23"/>
        <v>2767.32</v>
      </c>
    </row>
    <row r="317" spans="1:13" x14ac:dyDescent="0.2">
      <c r="A317" t="s">
        <v>459</v>
      </c>
      <c r="B317" s="2">
        <v>46169</v>
      </c>
      <c r="C317" s="2" t="str">
        <f t="shared" si="22"/>
        <v>May</v>
      </c>
      <c r="D317" t="s">
        <v>95</v>
      </c>
      <c r="E317" t="s">
        <v>119</v>
      </c>
      <c r="F317" t="s">
        <v>38</v>
      </c>
      <c r="G317" t="s">
        <v>15</v>
      </c>
      <c r="H317">
        <v>1</v>
      </c>
      <c r="I317" s="3">
        <v>28.22</v>
      </c>
      <c r="J317" s="4">
        <v>0</v>
      </c>
      <c r="K317" t="s">
        <v>44</v>
      </c>
      <c r="L317" t="s">
        <v>52</v>
      </c>
      <c r="M317">
        <f t="shared" si="23"/>
        <v>28.22</v>
      </c>
    </row>
    <row r="318" spans="1:13" x14ac:dyDescent="0.2">
      <c r="A318" t="s">
        <v>460</v>
      </c>
      <c r="B318" s="2">
        <v>46169</v>
      </c>
      <c r="C318" s="2" t="str">
        <f t="shared" si="22"/>
        <v>May</v>
      </c>
      <c r="D318" t="s">
        <v>300</v>
      </c>
      <c r="E318" t="s">
        <v>67</v>
      </c>
      <c r="F318" t="s">
        <v>21</v>
      </c>
      <c r="G318" t="s">
        <v>22</v>
      </c>
      <c r="H318">
        <v>2</v>
      </c>
      <c r="I318" s="3">
        <v>79.72</v>
      </c>
      <c r="J318" s="4">
        <v>0.1</v>
      </c>
      <c r="K318" t="s">
        <v>44</v>
      </c>
      <c r="L318" t="s">
        <v>32</v>
      </c>
      <c r="M318">
        <f t="shared" si="23"/>
        <v>143.49600000000001</v>
      </c>
    </row>
    <row r="319" spans="1:13" x14ac:dyDescent="0.2">
      <c r="A319" t="s">
        <v>461</v>
      </c>
      <c r="B319" s="2">
        <v>46169</v>
      </c>
      <c r="C319" s="2" t="str">
        <f t="shared" si="22"/>
        <v>May</v>
      </c>
      <c r="D319" t="s">
        <v>34</v>
      </c>
      <c r="E319" t="s">
        <v>47</v>
      </c>
      <c r="F319" t="s">
        <v>85</v>
      </c>
      <c r="G319" t="s">
        <v>22</v>
      </c>
      <c r="H319">
        <v>1</v>
      </c>
      <c r="I319" s="3">
        <v>515.66</v>
      </c>
      <c r="J319" s="4">
        <v>0</v>
      </c>
      <c r="K319" t="s">
        <v>23</v>
      </c>
      <c r="L319" t="s">
        <v>28</v>
      </c>
      <c r="M319">
        <f t="shared" si="23"/>
        <v>515.66</v>
      </c>
    </row>
    <row r="320" spans="1:13" x14ac:dyDescent="0.2">
      <c r="A320" t="s">
        <v>462</v>
      </c>
      <c r="B320" s="2">
        <v>46170</v>
      </c>
      <c r="C320" s="2" t="str">
        <f t="shared" si="22"/>
        <v>May</v>
      </c>
      <c r="D320" t="s">
        <v>145</v>
      </c>
      <c r="E320" t="s">
        <v>119</v>
      </c>
      <c r="F320" t="s">
        <v>73</v>
      </c>
      <c r="G320" t="s">
        <v>43</v>
      </c>
      <c r="H320">
        <v>1</v>
      </c>
      <c r="I320" s="3">
        <v>210.55</v>
      </c>
      <c r="J320" s="4">
        <v>0.2</v>
      </c>
      <c r="K320" t="s">
        <v>16</v>
      </c>
      <c r="L320" t="s">
        <v>32</v>
      </c>
      <c r="M320">
        <f t="shared" si="23"/>
        <v>168.44000000000003</v>
      </c>
    </row>
    <row r="321" spans="1:13" x14ac:dyDescent="0.2">
      <c r="A321" t="s">
        <v>463</v>
      </c>
      <c r="B321" s="2">
        <v>46170</v>
      </c>
      <c r="C321" s="2" t="str">
        <f t="shared" si="22"/>
        <v>May</v>
      </c>
      <c r="D321" t="s">
        <v>195</v>
      </c>
      <c r="E321" t="s">
        <v>35</v>
      </c>
      <c r="F321" t="s">
        <v>38</v>
      </c>
      <c r="G321" t="s">
        <v>15</v>
      </c>
      <c r="H321">
        <v>1</v>
      </c>
      <c r="I321" s="3">
        <v>31.39</v>
      </c>
      <c r="J321" s="4">
        <v>0.1</v>
      </c>
      <c r="K321" t="s">
        <v>23</v>
      </c>
      <c r="L321" t="s">
        <v>52</v>
      </c>
      <c r="M321">
        <f t="shared" si="23"/>
        <v>28.251000000000001</v>
      </c>
    </row>
    <row r="322" spans="1:13" x14ac:dyDescent="0.2">
      <c r="A322" t="s">
        <v>464</v>
      </c>
      <c r="B322" s="2">
        <v>46170</v>
      </c>
      <c r="C322" s="2" t="str">
        <f t="shared" si="22"/>
        <v>May</v>
      </c>
      <c r="D322" t="s">
        <v>315</v>
      </c>
      <c r="E322" t="s">
        <v>41</v>
      </c>
      <c r="F322" t="s">
        <v>85</v>
      </c>
      <c r="G322" t="s">
        <v>22</v>
      </c>
      <c r="H322">
        <v>1</v>
      </c>
      <c r="I322" s="3">
        <v>509.45</v>
      </c>
      <c r="J322" s="4">
        <v>0.05</v>
      </c>
      <c r="K322" t="s">
        <v>23</v>
      </c>
      <c r="L322" t="s">
        <v>52</v>
      </c>
      <c r="M322">
        <f t="shared" si="23"/>
        <v>483.97749999999996</v>
      </c>
    </row>
    <row r="323" spans="1:13" x14ac:dyDescent="0.2">
      <c r="A323" t="s">
        <v>465</v>
      </c>
      <c r="B323" s="2">
        <v>46170</v>
      </c>
      <c r="C323" s="2" t="str">
        <f t="shared" ref="C323:C386" si="24">TEXT(B323,"mmmm")</f>
        <v>May</v>
      </c>
      <c r="D323" t="s">
        <v>19</v>
      </c>
      <c r="E323" t="s">
        <v>119</v>
      </c>
      <c r="F323" t="s">
        <v>38</v>
      </c>
      <c r="G323" t="s">
        <v>15</v>
      </c>
      <c r="H323">
        <v>6</v>
      </c>
      <c r="I323" s="3">
        <v>30.79</v>
      </c>
      <c r="J323" s="4">
        <v>0</v>
      </c>
      <c r="K323" t="s">
        <v>16</v>
      </c>
      <c r="L323" t="s">
        <v>64</v>
      </c>
      <c r="M323">
        <f t="shared" ref="M323:M386" si="25">I323*H323*(1-J323)</f>
        <v>184.74</v>
      </c>
    </row>
    <row r="324" spans="1:13" x14ac:dyDescent="0.2">
      <c r="A324" t="s">
        <v>466</v>
      </c>
      <c r="B324" s="2">
        <v>46170</v>
      </c>
      <c r="C324" s="2" t="str">
        <f t="shared" si="24"/>
        <v>May</v>
      </c>
      <c r="D324" t="s">
        <v>294</v>
      </c>
      <c r="E324" t="s">
        <v>41</v>
      </c>
      <c r="F324" t="s">
        <v>38</v>
      </c>
      <c r="G324" t="s">
        <v>15</v>
      </c>
      <c r="H324">
        <v>5</v>
      </c>
      <c r="I324" s="3">
        <v>31.81</v>
      </c>
      <c r="J324" s="4">
        <v>0.15</v>
      </c>
      <c r="K324" t="s">
        <v>44</v>
      </c>
      <c r="L324" t="s">
        <v>32</v>
      </c>
      <c r="M324">
        <f t="shared" si="25"/>
        <v>135.1925</v>
      </c>
    </row>
    <row r="325" spans="1:13" x14ac:dyDescent="0.2">
      <c r="A325" t="s">
        <v>467</v>
      </c>
      <c r="B325" s="2">
        <v>46172</v>
      </c>
      <c r="C325" s="2" t="str">
        <f t="shared" si="24"/>
        <v>May</v>
      </c>
      <c r="D325" t="s">
        <v>190</v>
      </c>
      <c r="E325" t="s">
        <v>31</v>
      </c>
      <c r="F325" t="s">
        <v>63</v>
      </c>
      <c r="G325" t="s">
        <v>22</v>
      </c>
      <c r="H325">
        <v>2</v>
      </c>
      <c r="I325" s="3">
        <v>1289.52</v>
      </c>
      <c r="J325" s="4">
        <v>0</v>
      </c>
      <c r="K325" t="s">
        <v>44</v>
      </c>
      <c r="L325" t="s">
        <v>28</v>
      </c>
      <c r="M325">
        <f t="shared" si="25"/>
        <v>2579.04</v>
      </c>
    </row>
    <row r="326" spans="1:13" x14ac:dyDescent="0.2">
      <c r="A326" t="s">
        <v>468</v>
      </c>
      <c r="B326" s="2">
        <v>46173</v>
      </c>
      <c r="C326" s="2" t="str">
        <f t="shared" si="24"/>
        <v>May</v>
      </c>
      <c r="D326" t="s">
        <v>469</v>
      </c>
      <c r="E326" t="s">
        <v>119</v>
      </c>
      <c r="F326" t="s">
        <v>14</v>
      </c>
      <c r="G326" t="s">
        <v>15</v>
      </c>
      <c r="H326">
        <v>3</v>
      </c>
      <c r="I326" s="3">
        <v>55.93</v>
      </c>
      <c r="J326" s="4">
        <v>0</v>
      </c>
      <c r="K326" t="s">
        <v>44</v>
      </c>
      <c r="L326" t="s">
        <v>28</v>
      </c>
      <c r="M326">
        <f t="shared" si="25"/>
        <v>167.79</v>
      </c>
    </row>
    <row r="327" spans="1:13" x14ac:dyDescent="0.2">
      <c r="A327" t="s">
        <v>470</v>
      </c>
      <c r="B327" s="2">
        <v>46173</v>
      </c>
      <c r="C327" s="2" t="str">
        <f t="shared" si="24"/>
        <v>May</v>
      </c>
      <c r="D327" t="s">
        <v>195</v>
      </c>
      <c r="E327" t="s">
        <v>26</v>
      </c>
      <c r="F327" t="s">
        <v>14</v>
      </c>
      <c r="G327" t="s">
        <v>15</v>
      </c>
      <c r="H327">
        <v>10</v>
      </c>
      <c r="I327" s="3">
        <v>60.56</v>
      </c>
      <c r="J327" s="4">
        <v>0.1</v>
      </c>
      <c r="K327" t="s">
        <v>44</v>
      </c>
      <c r="L327" t="s">
        <v>56</v>
      </c>
      <c r="M327">
        <f t="shared" si="25"/>
        <v>545.04000000000008</v>
      </c>
    </row>
    <row r="328" spans="1:13" x14ac:dyDescent="0.2">
      <c r="A328" t="s">
        <v>471</v>
      </c>
      <c r="B328" s="2">
        <v>46173</v>
      </c>
      <c r="C328" s="2" t="str">
        <f t="shared" si="24"/>
        <v>May</v>
      </c>
      <c r="D328" t="s">
        <v>456</v>
      </c>
      <c r="E328" t="s">
        <v>26</v>
      </c>
      <c r="F328" t="s">
        <v>42</v>
      </c>
      <c r="G328" t="s">
        <v>43</v>
      </c>
      <c r="H328">
        <v>1</v>
      </c>
      <c r="I328" s="3">
        <v>287.64999999999998</v>
      </c>
      <c r="J328" s="4">
        <v>0.15</v>
      </c>
      <c r="K328" t="s">
        <v>23</v>
      </c>
      <c r="L328" t="s">
        <v>17</v>
      </c>
      <c r="M328">
        <f t="shared" si="25"/>
        <v>244.50249999999997</v>
      </c>
    </row>
    <row r="329" spans="1:13" x14ac:dyDescent="0.2">
      <c r="A329" t="s">
        <v>472</v>
      </c>
      <c r="B329" s="2">
        <v>46174</v>
      </c>
      <c r="C329" s="2" t="str">
        <f t="shared" si="24"/>
        <v>June</v>
      </c>
      <c r="D329" t="s">
        <v>61</v>
      </c>
      <c r="E329" t="s">
        <v>62</v>
      </c>
      <c r="F329" t="s">
        <v>38</v>
      </c>
      <c r="G329" t="s">
        <v>15</v>
      </c>
      <c r="H329">
        <v>2</v>
      </c>
      <c r="I329" s="3">
        <v>31.91</v>
      </c>
      <c r="J329" s="4">
        <v>0.1</v>
      </c>
      <c r="K329" t="s">
        <v>27</v>
      </c>
      <c r="L329" t="s">
        <v>17</v>
      </c>
      <c r="M329">
        <f t="shared" si="25"/>
        <v>57.438000000000002</v>
      </c>
    </row>
    <row r="330" spans="1:13" x14ac:dyDescent="0.2">
      <c r="A330" t="s">
        <v>473</v>
      </c>
      <c r="B330" s="2">
        <v>46174</v>
      </c>
      <c r="C330" s="2" t="str">
        <f t="shared" si="24"/>
        <v>June</v>
      </c>
      <c r="D330" t="s">
        <v>187</v>
      </c>
      <c r="E330" t="s">
        <v>62</v>
      </c>
      <c r="F330" t="s">
        <v>63</v>
      </c>
      <c r="G330" t="s">
        <v>22</v>
      </c>
      <c r="H330">
        <v>1</v>
      </c>
      <c r="I330" s="3">
        <v>1117.8399999999999</v>
      </c>
      <c r="J330" s="4">
        <v>0.1</v>
      </c>
      <c r="K330" t="s">
        <v>27</v>
      </c>
      <c r="L330" t="s">
        <v>74</v>
      </c>
      <c r="M330">
        <f t="shared" si="25"/>
        <v>1006.0559999999999</v>
      </c>
    </row>
    <row r="331" spans="1:13" x14ac:dyDescent="0.2">
      <c r="A331" t="s">
        <v>474</v>
      </c>
      <c r="B331" s="2">
        <v>46174</v>
      </c>
      <c r="C331" s="2" t="str">
        <f t="shared" si="24"/>
        <v>June</v>
      </c>
      <c r="D331" t="s">
        <v>155</v>
      </c>
      <c r="E331" t="s">
        <v>67</v>
      </c>
      <c r="F331" t="s">
        <v>42</v>
      </c>
      <c r="G331" t="s">
        <v>43</v>
      </c>
      <c r="H331">
        <v>1</v>
      </c>
      <c r="I331" s="3">
        <v>294.45</v>
      </c>
      <c r="J331" s="4">
        <v>0.1</v>
      </c>
      <c r="K331" t="s">
        <v>55</v>
      </c>
      <c r="L331" t="s">
        <v>74</v>
      </c>
      <c r="M331">
        <f t="shared" si="25"/>
        <v>265.005</v>
      </c>
    </row>
    <row r="332" spans="1:13" x14ac:dyDescent="0.2">
      <c r="A332" t="s">
        <v>475</v>
      </c>
      <c r="B332" s="2">
        <v>46176</v>
      </c>
      <c r="C332" s="2" t="str">
        <f t="shared" si="24"/>
        <v>June</v>
      </c>
      <c r="D332" t="s">
        <v>263</v>
      </c>
      <c r="E332" t="s">
        <v>67</v>
      </c>
      <c r="F332" t="s">
        <v>38</v>
      </c>
      <c r="G332" t="s">
        <v>15</v>
      </c>
      <c r="H332">
        <v>3</v>
      </c>
      <c r="I332" s="3">
        <v>28.64</v>
      </c>
      <c r="J332" s="4">
        <v>0.1</v>
      </c>
      <c r="K332" t="s">
        <v>16</v>
      </c>
      <c r="L332" t="s">
        <v>28</v>
      </c>
      <c r="M332">
        <f t="shared" si="25"/>
        <v>77.328000000000003</v>
      </c>
    </row>
    <row r="333" spans="1:13" x14ac:dyDescent="0.2">
      <c r="A333" t="s">
        <v>476</v>
      </c>
      <c r="B333" s="2">
        <v>46176</v>
      </c>
      <c r="C333" s="2" t="str">
        <f t="shared" si="24"/>
        <v>June</v>
      </c>
      <c r="D333" t="s">
        <v>101</v>
      </c>
      <c r="E333" t="s">
        <v>41</v>
      </c>
      <c r="F333" t="s">
        <v>14</v>
      </c>
      <c r="G333" t="s">
        <v>15</v>
      </c>
      <c r="H333">
        <v>3</v>
      </c>
      <c r="I333" s="3">
        <v>64.290000000000006</v>
      </c>
      <c r="J333" s="4">
        <v>0.1</v>
      </c>
      <c r="K333" t="s">
        <v>16</v>
      </c>
      <c r="L333" t="s">
        <v>70</v>
      </c>
      <c r="M333">
        <f t="shared" si="25"/>
        <v>173.583</v>
      </c>
    </row>
    <row r="334" spans="1:13" x14ac:dyDescent="0.2">
      <c r="A334" t="s">
        <v>477</v>
      </c>
      <c r="B334" s="2">
        <v>46177</v>
      </c>
      <c r="C334" s="2" t="str">
        <f t="shared" si="24"/>
        <v>June</v>
      </c>
      <c r="D334" t="s">
        <v>478</v>
      </c>
      <c r="E334" t="s">
        <v>62</v>
      </c>
      <c r="F334" t="s">
        <v>114</v>
      </c>
      <c r="G334" t="s">
        <v>43</v>
      </c>
      <c r="H334">
        <v>1</v>
      </c>
      <c r="I334" s="3">
        <v>168.02</v>
      </c>
      <c r="J334" s="4">
        <v>0</v>
      </c>
      <c r="K334" t="s">
        <v>23</v>
      </c>
      <c r="L334" t="s">
        <v>52</v>
      </c>
      <c r="M334">
        <f t="shared" si="25"/>
        <v>168.02</v>
      </c>
    </row>
    <row r="335" spans="1:13" x14ac:dyDescent="0.2">
      <c r="A335" t="s">
        <v>479</v>
      </c>
      <c r="B335" s="2">
        <v>46178</v>
      </c>
      <c r="C335" s="2" t="str">
        <f t="shared" si="24"/>
        <v>June</v>
      </c>
      <c r="D335" t="s">
        <v>145</v>
      </c>
      <c r="E335" t="s">
        <v>41</v>
      </c>
      <c r="F335" t="s">
        <v>48</v>
      </c>
      <c r="G335" t="s">
        <v>15</v>
      </c>
      <c r="H335">
        <v>3</v>
      </c>
      <c r="I335" s="3">
        <v>95</v>
      </c>
      <c r="J335" s="4">
        <v>0.15</v>
      </c>
      <c r="K335" t="s">
        <v>27</v>
      </c>
      <c r="L335" t="s">
        <v>52</v>
      </c>
      <c r="M335">
        <f t="shared" si="25"/>
        <v>242.25</v>
      </c>
    </row>
    <row r="336" spans="1:13" x14ac:dyDescent="0.2">
      <c r="A336" t="s">
        <v>480</v>
      </c>
      <c r="B336" s="2">
        <v>46178</v>
      </c>
      <c r="C336" s="2" t="str">
        <f t="shared" si="24"/>
        <v>June</v>
      </c>
      <c r="D336" t="s">
        <v>336</v>
      </c>
      <c r="E336" t="s">
        <v>26</v>
      </c>
      <c r="F336" t="s">
        <v>48</v>
      </c>
      <c r="G336" t="s">
        <v>15</v>
      </c>
      <c r="H336">
        <v>1</v>
      </c>
      <c r="I336" s="3">
        <v>87.45</v>
      </c>
      <c r="J336" s="4">
        <v>0.1</v>
      </c>
      <c r="K336" t="s">
        <v>44</v>
      </c>
      <c r="L336" t="s">
        <v>74</v>
      </c>
      <c r="M336">
        <f t="shared" si="25"/>
        <v>78.704999999999998</v>
      </c>
    </row>
    <row r="337" spans="1:13" x14ac:dyDescent="0.2">
      <c r="A337" t="s">
        <v>481</v>
      </c>
      <c r="B337" s="2">
        <v>46178</v>
      </c>
      <c r="C337" s="2" t="str">
        <f t="shared" si="24"/>
        <v>June</v>
      </c>
      <c r="D337" t="s">
        <v>84</v>
      </c>
      <c r="E337" t="s">
        <v>59</v>
      </c>
      <c r="F337" t="s">
        <v>63</v>
      </c>
      <c r="G337" t="s">
        <v>22</v>
      </c>
      <c r="H337">
        <v>4</v>
      </c>
      <c r="I337" s="3">
        <v>1164.46</v>
      </c>
      <c r="J337" s="4">
        <v>0</v>
      </c>
      <c r="K337" t="s">
        <v>27</v>
      </c>
      <c r="L337" t="s">
        <v>52</v>
      </c>
      <c r="M337">
        <f t="shared" si="25"/>
        <v>4657.84</v>
      </c>
    </row>
    <row r="338" spans="1:13" x14ac:dyDescent="0.2">
      <c r="A338" t="s">
        <v>482</v>
      </c>
      <c r="B338" s="2">
        <v>46178</v>
      </c>
      <c r="C338" s="2" t="str">
        <f t="shared" si="24"/>
        <v>June</v>
      </c>
      <c r="D338" t="s">
        <v>263</v>
      </c>
      <c r="E338" t="s">
        <v>59</v>
      </c>
      <c r="F338" t="s">
        <v>63</v>
      </c>
      <c r="G338" t="s">
        <v>22</v>
      </c>
      <c r="H338">
        <v>2</v>
      </c>
      <c r="I338" s="3">
        <v>1202.24</v>
      </c>
      <c r="J338" s="4">
        <v>0.05</v>
      </c>
      <c r="K338" t="s">
        <v>55</v>
      </c>
      <c r="L338" t="s">
        <v>74</v>
      </c>
      <c r="M338">
        <f t="shared" si="25"/>
        <v>2284.2559999999999</v>
      </c>
    </row>
    <row r="339" spans="1:13" x14ac:dyDescent="0.2">
      <c r="A339" t="s">
        <v>483</v>
      </c>
      <c r="B339" s="2">
        <v>46178</v>
      </c>
      <c r="C339" s="2" t="str">
        <f t="shared" si="24"/>
        <v>June</v>
      </c>
      <c r="D339" t="s">
        <v>12</v>
      </c>
      <c r="E339" t="s">
        <v>35</v>
      </c>
      <c r="F339" t="s">
        <v>38</v>
      </c>
      <c r="G339" t="s">
        <v>15</v>
      </c>
      <c r="H339">
        <v>1</v>
      </c>
      <c r="I339" s="3">
        <v>31.99</v>
      </c>
      <c r="J339" s="4">
        <v>0.1</v>
      </c>
      <c r="K339" t="s">
        <v>16</v>
      </c>
      <c r="L339" t="s">
        <v>32</v>
      </c>
      <c r="M339">
        <f t="shared" si="25"/>
        <v>28.791</v>
      </c>
    </row>
    <row r="340" spans="1:13" x14ac:dyDescent="0.2">
      <c r="A340" t="s">
        <v>484</v>
      </c>
      <c r="B340" s="2">
        <v>46179</v>
      </c>
      <c r="C340" s="2" t="str">
        <f t="shared" si="24"/>
        <v>June</v>
      </c>
      <c r="D340" t="s">
        <v>157</v>
      </c>
      <c r="E340" t="s">
        <v>35</v>
      </c>
      <c r="F340" t="s">
        <v>77</v>
      </c>
      <c r="G340" t="s">
        <v>22</v>
      </c>
      <c r="H340">
        <v>1</v>
      </c>
      <c r="I340" s="3">
        <v>346.93</v>
      </c>
      <c r="J340" s="4">
        <v>0.15</v>
      </c>
      <c r="K340" t="s">
        <v>55</v>
      </c>
      <c r="L340" t="s">
        <v>52</v>
      </c>
      <c r="M340">
        <f t="shared" si="25"/>
        <v>294.89049999999997</v>
      </c>
    </row>
    <row r="341" spans="1:13" x14ac:dyDescent="0.2">
      <c r="A341" t="s">
        <v>485</v>
      </c>
      <c r="B341" s="2">
        <v>46180</v>
      </c>
      <c r="C341" s="2" t="str">
        <f t="shared" si="24"/>
        <v>June</v>
      </c>
      <c r="D341" t="s">
        <v>84</v>
      </c>
      <c r="E341" t="s">
        <v>59</v>
      </c>
      <c r="F341" t="s">
        <v>85</v>
      </c>
      <c r="G341" t="s">
        <v>22</v>
      </c>
      <c r="H341">
        <v>4</v>
      </c>
      <c r="I341" s="3">
        <v>460.17</v>
      </c>
      <c r="J341" s="4">
        <v>0.1</v>
      </c>
      <c r="K341" t="s">
        <v>27</v>
      </c>
      <c r="L341" t="s">
        <v>70</v>
      </c>
      <c r="M341">
        <f t="shared" si="25"/>
        <v>1656.6120000000001</v>
      </c>
    </row>
    <row r="342" spans="1:13" x14ac:dyDescent="0.2">
      <c r="A342" t="s">
        <v>486</v>
      </c>
      <c r="B342" s="2">
        <v>46181</v>
      </c>
      <c r="C342" s="2" t="str">
        <f t="shared" si="24"/>
        <v>June</v>
      </c>
      <c r="D342" t="s">
        <v>121</v>
      </c>
      <c r="E342" t="s">
        <v>35</v>
      </c>
      <c r="F342" t="s">
        <v>21</v>
      </c>
      <c r="G342" t="s">
        <v>22</v>
      </c>
      <c r="H342">
        <v>1</v>
      </c>
      <c r="I342" s="3">
        <v>77.92</v>
      </c>
      <c r="J342" s="4">
        <v>0</v>
      </c>
      <c r="K342" t="s">
        <v>23</v>
      </c>
      <c r="L342" t="s">
        <v>28</v>
      </c>
      <c r="M342">
        <f t="shared" si="25"/>
        <v>77.92</v>
      </c>
    </row>
    <row r="343" spans="1:13" x14ac:dyDescent="0.2">
      <c r="A343" t="s">
        <v>487</v>
      </c>
      <c r="B343" s="2">
        <v>46181</v>
      </c>
      <c r="C343" s="2" t="str">
        <f t="shared" si="24"/>
        <v>June</v>
      </c>
      <c r="D343" t="s">
        <v>30</v>
      </c>
      <c r="E343" t="s">
        <v>80</v>
      </c>
      <c r="F343" t="s">
        <v>63</v>
      </c>
      <c r="G343" t="s">
        <v>22</v>
      </c>
      <c r="H343">
        <v>1</v>
      </c>
      <c r="I343" s="3">
        <v>1270.71</v>
      </c>
      <c r="J343" s="4">
        <v>0.05</v>
      </c>
      <c r="K343" t="s">
        <v>55</v>
      </c>
      <c r="L343" t="s">
        <v>74</v>
      </c>
      <c r="M343">
        <f t="shared" si="25"/>
        <v>1207.1745000000001</v>
      </c>
    </row>
    <row r="344" spans="1:13" x14ac:dyDescent="0.2">
      <c r="A344" t="s">
        <v>488</v>
      </c>
      <c r="B344" s="2">
        <v>46182</v>
      </c>
      <c r="C344" s="2" t="str">
        <f t="shared" si="24"/>
        <v>June</v>
      </c>
      <c r="D344" t="s">
        <v>266</v>
      </c>
      <c r="E344" t="s">
        <v>51</v>
      </c>
      <c r="F344" t="s">
        <v>42</v>
      </c>
      <c r="G344" t="s">
        <v>43</v>
      </c>
      <c r="H344">
        <v>1</v>
      </c>
      <c r="I344" s="3">
        <v>259.93</v>
      </c>
      <c r="J344" s="4">
        <v>0.15</v>
      </c>
      <c r="K344" t="s">
        <v>55</v>
      </c>
      <c r="L344" t="s">
        <v>17</v>
      </c>
      <c r="M344">
        <f t="shared" si="25"/>
        <v>220.94049999999999</v>
      </c>
    </row>
    <row r="345" spans="1:13" x14ac:dyDescent="0.2">
      <c r="A345" t="s">
        <v>489</v>
      </c>
      <c r="B345" s="2">
        <v>46184</v>
      </c>
      <c r="C345" s="2" t="str">
        <f t="shared" si="24"/>
        <v>June</v>
      </c>
      <c r="D345" t="s">
        <v>315</v>
      </c>
      <c r="E345" t="s">
        <v>59</v>
      </c>
      <c r="F345" t="s">
        <v>38</v>
      </c>
      <c r="G345" t="s">
        <v>15</v>
      </c>
      <c r="H345">
        <v>1</v>
      </c>
      <c r="I345" s="3">
        <v>30.59</v>
      </c>
      <c r="J345" s="4">
        <v>0.1</v>
      </c>
      <c r="K345" t="s">
        <v>16</v>
      </c>
      <c r="L345" t="s">
        <v>32</v>
      </c>
      <c r="M345">
        <f t="shared" si="25"/>
        <v>27.530999999999999</v>
      </c>
    </row>
    <row r="346" spans="1:13" x14ac:dyDescent="0.2">
      <c r="A346" t="s">
        <v>490</v>
      </c>
      <c r="B346" s="2">
        <v>46184</v>
      </c>
      <c r="C346" s="2" t="str">
        <f t="shared" si="24"/>
        <v>June</v>
      </c>
      <c r="D346" t="s">
        <v>491</v>
      </c>
      <c r="E346" t="s">
        <v>47</v>
      </c>
      <c r="F346" t="s">
        <v>114</v>
      </c>
      <c r="G346" t="s">
        <v>43</v>
      </c>
      <c r="H346">
        <v>2</v>
      </c>
      <c r="I346" s="3">
        <v>194.14</v>
      </c>
      <c r="J346" s="4">
        <v>0.15</v>
      </c>
      <c r="K346" t="s">
        <v>44</v>
      </c>
      <c r="L346" t="s">
        <v>56</v>
      </c>
      <c r="M346">
        <f t="shared" si="25"/>
        <v>330.03799999999995</v>
      </c>
    </row>
    <row r="347" spans="1:13" x14ac:dyDescent="0.2">
      <c r="A347" t="s">
        <v>492</v>
      </c>
      <c r="B347" s="2">
        <v>46184</v>
      </c>
      <c r="C347" s="2" t="str">
        <f t="shared" si="24"/>
        <v>June</v>
      </c>
      <c r="D347" t="s">
        <v>493</v>
      </c>
      <c r="E347" t="s">
        <v>47</v>
      </c>
      <c r="F347" t="s">
        <v>38</v>
      </c>
      <c r="G347" t="s">
        <v>15</v>
      </c>
      <c r="H347">
        <v>2</v>
      </c>
      <c r="I347" s="3">
        <v>31.08</v>
      </c>
      <c r="J347" s="4">
        <v>0</v>
      </c>
      <c r="K347" t="s">
        <v>27</v>
      </c>
      <c r="L347" t="s">
        <v>56</v>
      </c>
      <c r="M347">
        <f t="shared" si="25"/>
        <v>62.16</v>
      </c>
    </row>
    <row r="348" spans="1:13" x14ac:dyDescent="0.2">
      <c r="A348" t="s">
        <v>494</v>
      </c>
      <c r="B348" s="2">
        <v>46185</v>
      </c>
      <c r="C348" s="2" t="str">
        <f t="shared" si="24"/>
        <v>June</v>
      </c>
      <c r="D348" t="s">
        <v>315</v>
      </c>
      <c r="E348" t="s">
        <v>26</v>
      </c>
      <c r="F348" t="s">
        <v>14</v>
      </c>
      <c r="G348" t="s">
        <v>15</v>
      </c>
      <c r="H348">
        <v>1</v>
      </c>
      <c r="I348" s="3">
        <v>62.03</v>
      </c>
      <c r="J348" s="4">
        <v>0</v>
      </c>
      <c r="K348" t="s">
        <v>16</v>
      </c>
      <c r="L348" t="s">
        <v>64</v>
      </c>
      <c r="M348">
        <f t="shared" si="25"/>
        <v>62.03</v>
      </c>
    </row>
    <row r="349" spans="1:13" x14ac:dyDescent="0.2">
      <c r="A349" t="s">
        <v>495</v>
      </c>
      <c r="B349" s="2">
        <v>46186</v>
      </c>
      <c r="C349" s="2" t="str">
        <f t="shared" si="24"/>
        <v>June</v>
      </c>
      <c r="D349" t="s">
        <v>82</v>
      </c>
      <c r="E349" t="s">
        <v>41</v>
      </c>
      <c r="F349" t="s">
        <v>48</v>
      </c>
      <c r="G349" t="s">
        <v>15</v>
      </c>
      <c r="H349">
        <v>4</v>
      </c>
      <c r="I349" s="3">
        <v>87.49</v>
      </c>
      <c r="J349" s="4">
        <v>0.1</v>
      </c>
      <c r="K349" t="s">
        <v>44</v>
      </c>
      <c r="L349" t="s">
        <v>70</v>
      </c>
      <c r="M349">
        <f t="shared" si="25"/>
        <v>314.964</v>
      </c>
    </row>
    <row r="350" spans="1:13" x14ac:dyDescent="0.2">
      <c r="A350" t="s">
        <v>496</v>
      </c>
      <c r="B350" s="2">
        <v>46186</v>
      </c>
      <c r="C350" s="2" t="str">
        <f t="shared" si="24"/>
        <v>June</v>
      </c>
      <c r="D350" t="s">
        <v>101</v>
      </c>
      <c r="E350" t="s">
        <v>13</v>
      </c>
      <c r="F350" t="s">
        <v>77</v>
      </c>
      <c r="G350" t="s">
        <v>22</v>
      </c>
      <c r="H350">
        <v>4</v>
      </c>
      <c r="I350" s="3">
        <v>371.14</v>
      </c>
      <c r="J350" s="4">
        <v>0.05</v>
      </c>
      <c r="K350" t="s">
        <v>16</v>
      </c>
      <c r="L350" t="s">
        <v>56</v>
      </c>
      <c r="M350">
        <f t="shared" si="25"/>
        <v>1410.3319999999999</v>
      </c>
    </row>
    <row r="351" spans="1:13" x14ac:dyDescent="0.2">
      <c r="A351" t="s">
        <v>497</v>
      </c>
      <c r="B351" s="2">
        <v>46186</v>
      </c>
      <c r="C351" s="2" t="str">
        <f t="shared" si="24"/>
        <v>June</v>
      </c>
      <c r="D351" t="s">
        <v>61</v>
      </c>
      <c r="E351" t="s">
        <v>59</v>
      </c>
      <c r="F351" t="s">
        <v>21</v>
      </c>
      <c r="G351" t="s">
        <v>22</v>
      </c>
      <c r="H351">
        <v>1</v>
      </c>
      <c r="I351" s="3">
        <v>70.989999999999995</v>
      </c>
      <c r="J351" s="4">
        <v>0</v>
      </c>
      <c r="K351" t="s">
        <v>27</v>
      </c>
      <c r="L351" t="s">
        <v>56</v>
      </c>
      <c r="M351">
        <f t="shared" si="25"/>
        <v>70.989999999999995</v>
      </c>
    </row>
    <row r="352" spans="1:13" x14ac:dyDescent="0.2">
      <c r="A352" t="s">
        <v>498</v>
      </c>
      <c r="B352" s="2">
        <v>46186</v>
      </c>
      <c r="C352" s="2" t="str">
        <f t="shared" si="24"/>
        <v>June</v>
      </c>
      <c r="D352" t="s">
        <v>456</v>
      </c>
      <c r="E352" t="s">
        <v>59</v>
      </c>
      <c r="F352" t="s">
        <v>114</v>
      </c>
      <c r="G352" t="s">
        <v>43</v>
      </c>
      <c r="H352">
        <v>1</v>
      </c>
      <c r="I352" s="3">
        <v>178.19</v>
      </c>
      <c r="J352" s="4">
        <v>0.1</v>
      </c>
      <c r="K352" t="s">
        <v>44</v>
      </c>
      <c r="L352" t="s">
        <v>28</v>
      </c>
      <c r="M352">
        <f t="shared" si="25"/>
        <v>160.37100000000001</v>
      </c>
    </row>
    <row r="353" spans="1:13" x14ac:dyDescent="0.2">
      <c r="A353" t="s">
        <v>499</v>
      </c>
      <c r="B353" s="2">
        <v>46186</v>
      </c>
      <c r="C353" s="2" t="str">
        <f t="shared" si="24"/>
        <v>June</v>
      </c>
      <c r="D353" t="s">
        <v>95</v>
      </c>
      <c r="E353" t="s">
        <v>51</v>
      </c>
      <c r="F353" t="s">
        <v>14</v>
      </c>
      <c r="G353" t="s">
        <v>15</v>
      </c>
      <c r="H353">
        <v>5</v>
      </c>
      <c r="I353" s="3">
        <v>58.19</v>
      </c>
      <c r="J353" s="4">
        <v>0.05</v>
      </c>
      <c r="K353" t="s">
        <v>23</v>
      </c>
      <c r="L353" t="s">
        <v>56</v>
      </c>
      <c r="M353">
        <f t="shared" si="25"/>
        <v>276.40249999999997</v>
      </c>
    </row>
    <row r="354" spans="1:13" x14ac:dyDescent="0.2">
      <c r="A354" t="s">
        <v>500</v>
      </c>
      <c r="B354" s="2">
        <v>46186</v>
      </c>
      <c r="C354" s="2" t="str">
        <f t="shared" si="24"/>
        <v>June</v>
      </c>
      <c r="D354" t="s">
        <v>183</v>
      </c>
      <c r="E354" t="s">
        <v>47</v>
      </c>
      <c r="F354" t="s">
        <v>14</v>
      </c>
      <c r="G354" t="s">
        <v>15</v>
      </c>
      <c r="H354">
        <v>10</v>
      </c>
      <c r="I354" s="3">
        <v>64.41</v>
      </c>
      <c r="J354" s="4">
        <v>0.1</v>
      </c>
      <c r="K354" t="s">
        <v>27</v>
      </c>
      <c r="L354" t="s">
        <v>52</v>
      </c>
      <c r="M354">
        <f t="shared" si="25"/>
        <v>579.68999999999994</v>
      </c>
    </row>
    <row r="355" spans="1:13" x14ac:dyDescent="0.2">
      <c r="A355" t="s">
        <v>501</v>
      </c>
      <c r="B355" s="2">
        <v>46186</v>
      </c>
      <c r="C355" s="2" t="str">
        <f t="shared" si="24"/>
        <v>June</v>
      </c>
      <c r="D355" t="s">
        <v>121</v>
      </c>
      <c r="E355" t="s">
        <v>13</v>
      </c>
      <c r="F355" t="s">
        <v>21</v>
      </c>
      <c r="G355" t="s">
        <v>22</v>
      </c>
      <c r="H355">
        <v>1</v>
      </c>
      <c r="I355" s="3">
        <v>78.599999999999994</v>
      </c>
      <c r="J355" s="4">
        <v>0.05</v>
      </c>
      <c r="K355" t="s">
        <v>44</v>
      </c>
      <c r="L355" t="s">
        <v>70</v>
      </c>
      <c r="M355">
        <f t="shared" si="25"/>
        <v>74.669999999999987</v>
      </c>
    </row>
    <row r="356" spans="1:13" x14ac:dyDescent="0.2">
      <c r="A356" t="s">
        <v>502</v>
      </c>
      <c r="B356" s="2">
        <v>46186</v>
      </c>
      <c r="C356" s="2" t="str">
        <f t="shared" si="24"/>
        <v>June</v>
      </c>
      <c r="D356" t="s">
        <v>249</v>
      </c>
      <c r="E356" t="s">
        <v>93</v>
      </c>
      <c r="F356" t="s">
        <v>38</v>
      </c>
      <c r="G356" t="s">
        <v>15</v>
      </c>
      <c r="H356">
        <v>1</v>
      </c>
      <c r="I356" s="3">
        <v>28.81</v>
      </c>
      <c r="J356" s="4">
        <v>0.05</v>
      </c>
      <c r="K356" t="s">
        <v>23</v>
      </c>
      <c r="L356" t="s">
        <v>52</v>
      </c>
      <c r="M356">
        <f t="shared" si="25"/>
        <v>27.369499999999999</v>
      </c>
    </row>
    <row r="357" spans="1:13" x14ac:dyDescent="0.2">
      <c r="A357" t="s">
        <v>503</v>
      </c>
      <c r="B357" s="2">
        <v>46187</v>
      </c>
      <c r="C357" s="2" t="str">
        <f t="shared" si="24"/>
        <v>June</v>
      </c>
      <c r="D357" t="s">
        <v>493</v>
      </c>
      <c r="E357" t="s">
        <v>93</v>
      </c>
      <c r="F357" t="s">
        <v>48</v>
      </c>
      <c r="G357" t="s">
        <v>15</v>
      </c>
      <c r="H357">
        <v>1</v>
      </c>
      <c r="I357" s="3">
        <v>88.75</v>
      </c>
      <c r="J357" s="4">
        <v>0</v>
      </c>
      <c r="K357" t="s">
        <v>44</v>
      </c>
      <c r="L357" t="s">
        <v>70</v>
      </c>
      <c r="M357">
        <f t="shared" si="25"/>
        <v>88.75</v>
      </c>
    </row>
    <row r="358" spans="1:13" x14ac:dyDescent="0.2">
      <c r="A358" t="s">
        <v>504</v>
      </c>
      <c r="B358" s="2">
        <v>46187</v>
      </c>
      <c r="C358" s="2" t="str">
        <f t="shared" si="24"/>
        <v>June</v>
      </c>
      <c r="D358" t="s">
        <v>198</v>
      </c>
      <c r="E358" t="s">
        <v>59</v>
      </c>
      <c r="F358" t="s">
        <v>48</v>
      </c>
      <c r="G358" t="s">
        <v>15</v>
      </c>
      <c r="H358">
        <v>1</v>
      </c>
      <c r="I358" s="3">
        <v>88.1</v>
      </c>
      <c r="J358" s="4">
        <v>0</v>
      </c>
      <c r="K358" t="s">
        <v>16</v>
      </c>
      <c r="L358" t="s">
        <v>56</v>
      </c>
      <c r="M358">
        <f t="shared" si="25"/>
        <v>88.1</v>
      </c>
    </row>
    <row r="359" spans="1:13" x14ac:dyDescent="0.2">
      <c r="A359" t="s">
        <v>505</v>
      </c>
      <c r="B359" s="2">
        <v>46188</v>
      </c>
      <c r="C359" s="2" t="str">
        <f t="shared" si="24"/>
        <v>June</v>
      </c>
      <c r="D359" t="s">
        <v>129</v>
      </c>
      <c r="E359" t="s">
        <v>80</v>
      </c>
      <c r="F359" t="s">
        <v>48</v>
      </c>
      <c r="G359" t="s">
        <v>15</v>
      </c>
      <c r="H359">
        <v>1</v>
      </c>
      <c r="I359" s="3">
        <v>86.06</v>
      </c>
      <c r="J359" s="4">
        <v>0.2</v>
      </c>
      <c r="K359" t="s">
        <v>55</v>
      </c>
      <c r="L359" t="s">
        <v>32</v>
      </c>
      <c r="M359">
        <f t="shared" si="25"/>
        <v>68.847999999999999</v>
      </c>
    </row>
    <row r="360" spans="1:13" x14ac:dyDescent="0.2">
      <c r="A360" t="s">
        <v>506</v>
      </c>
      <c r="B360" s="2">
        <v>46188</v>
      </c>
      <c r="C360" s="2" t="str">
        <f t="shared" si="24"/>
        <v>June</v>
      </c>
      <c r="D360" t="s">
        <v>478</v>
      </c>
      <c r="E360" t="s">
        <v>41</v>
      </c>
      <c r="F360" t="s">
        <v>42</v>
      </c>
      <c r="G360" t="s">
        <v>43</v>
      </c>
      <c r="H360">
        <v>3</v>
      </c>
      <c r="I360" s="3">
        <v>267.22000000000003</v>
      </c>
      <c r="J360" s="4">
        <v>0.1</v>
      </c>
      <c r="K360" t="s">
        <v>23</v>
      </c>
      <c r="L360" t="s">
        <v>32</v>
      </c>
      <c r="M360">
        <f t="shared" si="25"/>
        <v>721.49400000000014</v>
      </c>
    </row>
    <row r="361" spans="1:13" x14ac:dyDescent="0.2">
      <c r="A361" t="s">
        <v>507</v>
      </c>
      <c r="B361" s="2">
        <v>46189</v>
      </c>
      <c r="C361" s="2" t="str">
        <f t="shared" si="24"/>
        <v>June</v>
      </c>
      <c r="D361" t="s">
        <v>400</v>
      </c>
      <c r="E361" t="s">
        <v>41</v>
      </c>
      <c r="F361" t="s">
        <v>38</v>
      </c>
      <c r="G361" t="s">
        <v>15</v>
      </c>
      <c r="H361">
        <v>4</v>
      </c>
      <c r="I361" s="3">
        <v>29.41</v>
      </c>
      <c r="J361" s="4">
        <v>0.05</v>
      </c>
      <c r="K361" t="s">
        <v>23</v>
      </c>
      <c r="L361" t="s">
        <v>32</v>
      </c>
      <c r="M361">
        <f t="shared" si="25"/>
        <v>111.758</v>
      </c>
    </row>
    <row r="362" spans="1:13" x14ac:dyDescent="0.2">
      <c r="A362" t="s">
        <v>508</v>
      </c>
      <c r="B362" s="2">
        <v>46189</v>
      </c>
      <c r="C362" s="2" t="str">
        <f t="shared" si="24"/>
        <v>June</v>
      </c>
      <c r="D362" t="s">
        <v>87</v>
      </c>
      <c r="E362" t="s">
        <v>31</v>
      </c>
      <c r="F362" t="s">
        <v>14</v>
      </c>
      <c r="G362" t="s">
        <v>15</v>
      </c>
      <c r="H362">
        <v>2</v>
      </c>
      <c r="I362" s="3">
        <v>63.37</v>
      </c>
      <c r="J362" s="4">
        <v>0.1</v>
      </c>
      <c r="K362" t="s">
        <v>23</v>
      </c>
      <c r="L362" t="s">
        <v>32</v>
      </c>
      <c r="M362">
        <f t="shared" si="25"/>
        <v>114.066</v>
      </c>
    </row>
    <row r="363" spans="1:13" x14ac:dyDescent="0.2">
      <c r="A363" t="s">
        <v>509</v>
      </c>
      <c r="B363" s="2">
        <v>46191</v>
      </c>
      <c r="C363" s="2" t="str">
        <f t="shared" si="24"/>
        <v>June</v>
      </c>
      <c r="D363" t="s">
        <v>37</v>
      </c>
      <c r="E363" t="s">
        <v>80</v>
      </c>
      <c r="F363" t="s">
        <v>14</v>
      </c>
      <c r="G363" t="s">
        <v>15</v>
      </c>
      <c r="H363">
        <v>8</v>
      </c>
      <c r="I363" s="3">
        <v>60.45</v>
      </c>
      <c r="J363" s="4">
        <v>0</v>
      </c>
      <c r="K363" t="s">
        <v>27</v>
      </c>
      <c r="L363" t="s">
        <v>52</v>
      </c>
      <c r="M363">
        <f t="shared" si="25"/>
        <v>483.6</v>
      </c>
    </row>
    <row r="364" spans="1:13" x14ac:dyDescent="0.2">
      <c r="A364" t="s">
        <v>510</v>
      </c>
      <c r="B364" s="2">
        <v>46192</v>
      </c>
      <c r="C364" s="2" t="str">
        <f t="shared" si="24"/>
        <v>June</v>
      </c>
      <c r="D364" t="s">
        <v>103</v>
      </c>
      <c r="E364" t="s">
        <v>90</v>
      </c>
      <c r="F364" t="s">
        <v>21</v>
      </c>
      <c r="G364" t="s">
        <v>22</v>
      </c>
      <c r="H364">
        <v>3</v>
      </c>
      <c r="I364" s="3">
        <v>69.290000000000006</v>
      </c>
      <c r="J364" s="4">
        <v>0</v>
      </c>
      <c r="K364" t="s">
        <v>44</v>
      </c>
      <c r="L364" t="s">
        <v>70</v>
      </c>
      <c r="M364">
        <f t="shared" si="25"/>
        <v>207.87</v>
      </c>
    </row>
    <row r="365" spans="1:13" x14ac:dyDescent="0.2">
      <c r="A365" t="s">
        <v>511</v>
      </c>
      <c r="B365" s="2">
        <v>46192</v>
      </c>
      <c r="C365" s="2" t="str">
        <f t="shared" si="24"/>
        <v>June</v>
      </c>
      <c r="D365" t="s">
        <v>346</v>
      </c>
      <c r="E365" t="s">
        <v>62</v>
      </c>
      <c r="F365" t="s">
        <v>114</v>
      </c>
      <c r="G365" t="s">
        <v>43</v>
      </c>
      <c r="H365">
        <v>3</v>
      </c>
      <c r="I365" s="3">
        <v>175.99</v>
      </c>
      <c r="J365" s="4">
        <v>0</v>
      </c>
      <c r="K365" t="s">
        <v>27</v>
      </c>
      <c r="L365" t="s">
        <v>64</v>
      </c>
      <c r="M365">
        <f t="shared" si="25"/>
        <v>527.97</v>
      </c>
    </row>
    <row r="366" spans="1:13" x14ac:dyDescent="0.2">
      <c r="A366" t="s">
        <v>512</v>
      </c>
      <c r="B366" s="2">
        <v>46192</v>
      </c>
      <c r="C366" s="2" t="str">
        <f t="shared" si="24"/>
        <v>June</v>
      </c>
      <c r="D366" t="s">
        <v>147</v>
      </c>
      <c r="E366" t="s">
        <v>41</v>
      </c>
      <c r="F366" t="s">
        <v>77</v>
      </c>
      <c r="G366" t="s">
        <v>22</v>
      </c>
      <c r="H366">
        <v>1</v>
      </c>
      <c r="I366" s="3">
        <v>331.28</v>
      </c>
      <c r="J366" s="4">
        <v>0</v>
      </c>
      <c r="K366" t="s">
        <v>23</v>
      </c>
      <c r="L366" t="s">
        <v>70</v>
      </c>
      <c r="M366">
        <f t="shared" si="25"/>
        <v>331.28</v>
      </c>
    </row>
    <row r="367" spans="1:13" x14ac:dyDescent="0.2">
      <c r="A367" t="s">
        <v>513</v>
      </c>
      <c r="B367" s="2">
        <v>46193</v>
      </c>
      <c r="C367" s="2" t="str">
        <f t="shared" si="24"/>
        <v>June</v>
      </c>
      <c r="D367" t="s">
        <v>118</v>
      </c>
      <c r="E367" t="s">
        <v>47</v>
      </c>
      <c r="F367" t="s">
        <v>42</v>
      </c>
      <c r="G367" t="s">
        <v>43</v>
      </c>
      <c r="H367">
        <v>3</v>
      </c>
      <c r="I367" s="3">
        <v>293.94</v>
      </c>
      <c r="J367" s="4">
        <v>0</v>
      </c>
      <c r="K367" t="s">
        <v>27</v>
      </c>
      <c r="L367" t="s">
        <v>56</v>
      </c>
      <c r="M367">
        <f t="shared" si="25"/>
        <v>881.81999999999994</v>
      </c>
    </row>
    <row r="368" spans="1:13" x14ac:dyDescent="0.2">
      <c r="A368" t="s">
        <v>514</v>
      </c>
      <c r="B368" s="2">
        <v>46193</v>
      </c>
      <c r="C368" s="2" t="str">
        <f t="shared" si="24"/>
        <v>June</v>
      </c>
      <c r="D368" t="s">
        <v>491</v>
      </c>
      <c r="E368" t="s">
        <v>93</v>
      </c>
      <c r="F368" t="s">
        <v>38</v>
      </c>
      <c r="G368" t="s">
        <v>15</v>
      </c>
      <c r="H368">
        <v>5</v>
      </c>
      <c r="I368" s="3">
        <v>28.79</v>
      </c>
      <c r="J368" s="4">
        <v>0</v>
      </c>
      <c r="K368" t="s">
        <v>27</v>
      </c>
      <c r="L368" t="s">
        <v>17</v>
      </c>
      <c r="M368">
        <f t="shared" si="25"/>
        <v>143.94999999999999</v>
      </c>
    </row>
    <row r="369" spans="1:13" x14ac:dyDescent="0.2">
      <c r="A369" t="s">
        <v>515</v>
      </c>
      <c r="B369" s="2">
        <v>46193</v>
      </c>
      <c r="C369" s="2" t="str">
        <f t="shared" si="24"/>
        <v>June</v>
      </c>
      <c r="D369" t="s">
        <v>133</v>
      </c>
      <c r="E369" t="s">
        <v>35</v>
      </c>
      <c r="F369" t="s">
        <v>38</v>
      </c>
      <c r="G369" t="s">
        <v>15</v>
      </c>
      <c r="H369">
        <v>3</v>
      </c>
      <c r="I369" s="3">
        <v>27.65</v>
      </c>
      <c r="J369" s="4">
        <v>0.05</v>
      </c>
      <c r="K369" t="s">
        <v>23</v>
      </c>
      <c r="L369" t="s">
        <v>52</v>
      </c>
      <c r="M369">
        <f t="shared" si="25"/>
        <v>78.802499999999981</v>
      </c>
    </row>
    <row r="370" spans="1:13" x14ac:dyDescent="0.2">
      <c r="A370" t="s">
        <v>516</v>
      </c>
      <c r="B370" s="2">
        <v>46193</v>
      </c>
      <c r="C370" s="2" t="str">
        <f t="shared" si="24"/>
        <v>June</v>
      </c>
      <c r="D370" t="s">
        <v>469</v>
      </c>
      <c r="E370" t="s">
        <v>59</v>
      </c>
      <c r="F370" t="s">
        <v>14</v>
      </c>
      <c r="G370" t="s">
        <v>15</v>
      </c>
      <c r="H370">
        <v>2</v>
      </c>
      <c r="I370" s="3">
        <v>64.5</v>
      </c>
      <c r="J370" s="4">
        <v>0.05</v>
      </c>
      <c r="K370" t="s">
        <v>44</v>
      </c>
      <c r="L370" t="s">
        <v>74</v>
      </c>
      <c r="M370">
        <f t="shared" si="25"/>
        <v>122.55</v>
      </c>
    </row>
    <row r="371" spans="1:13" x14ac:dyDescent="0.2">
      <c r="A371" t="s">
        <v>517</v>
      </c>
      <c r="B371" s="2">
        <v>46193</v>
      </c>
      <c r="C371" s="2" t="str">
        <f t="shared" si="24"/>
        <v>June</v>
      </c>
      <c r="D371" t="s">
        <v>111</v>
      </c>
      <c r="E371" t="s">
        <v>41</v>
      </c>
      <c r="F371" t="s">
        <v>73</v>
      </c>
      <c r="G371" t="s">
        <v>43</v>
      </c>
      <c r="H371">
        <v>3</v>
      </c>
      <c r="I371" s="3">
        <v>229.04</v>
      </c>
      <c r="J371" s="4">
        <v>0.2</v>
      </c>
      <c r="K371" t="s">
        <v>16</v>
      </c>
      <c r="L371" t="s">
        <v>32</v>
      </c>
      <c r="M371">
        <f t="shared" si="25"/>
        <v>549.69600000000003</v>
      </c>
    </row>
    <row r="372" spans="1:13" x14ac:dyDescent="0.2">
      <c r="A372" t="s">
        <v>518</v>
      </c>
      <c r="B372" s="2">
        <v>46194</v>
      </c>
      <c r="C372" s="2" t="str">
        <f t="shared" si="24"/>
        <v>June</v>
      </c>
      <c r="D372" t="s">
        <v>333</v>
      </c>
      <c r="E372" t="s">
        <v>35</v>
      </c>
      <c r="F372" t="s">
        <v>21</v>
      </c>
      <c r="G372" t="s">
        <v>22</v>
      </c>
      <c r="H372">
        <v>2</v>
      </c>
      <c r="I372" s="3">
        <v>74.87</v>
      </c>
      <c r="J372" s="4">
        <v>0.05</v>
      </c>
      <c r="K372" t="s">
        <v>16</v>
      </c>
      <c r="L372" t="s">
        <v>52</v>
      </c>
      <c r="M372">
        <f t="shared" si="25"/>
        <v>142.25300000000001</v>
      </c>
    </row>
    <row r="373" spans="1:13" x14ac:dyDescent="0.2">
      <c r="A373" t="s">
        <v>519</v>
      </c>
      <c r="B373" s="2">
        <v>46194</v>
      </c>
      <c r="C373" s="2" t="str">
        <f t="shared" si="24"/>
        <v>June</v>
      </c>
      <c r="D373" t="s">
        <v>164</v>
      </c>
      <c r="E373" t="s">
        <v>59</v>
      </c>
      <c r="F373" t="s">
        <v>21</v>
      </c>
      <c r="G373" t="s">
        <v>22</v>
      </c>
      <c r="H373">
        <v>2</v>
      </c>
      <c r="I373" s="3">
        <v>70.27</v>
      </c>
      <c r="J373" s="4">
        <v>0.15</v>
      </c>
      <c r="K373" t="s">
        <v>16</v>
      </c>
      <c r="L373" t="s">
        <v>17</v>
      </c>
      <c r="M373">
        <f t="shared" si="25"/>
        <v>119.45899999999999</v>
      </c>
    </row>
    <row r="374" spans="1:13" x14ac:dyDescent="0.2">
      <c r="A374" t="s">
        <v>520</v>
      </c>
      <c r="B374" s="2">
        <v>46194</v>
      </c>
      <c r="C374" s="2" t="str">
        <f t="shared" si="24"/>
        <v>June</v>
      </c>
      <c r="D374" t="s">
        <v>89</v>
      </c>
      <c r="E374" t="s">
        <v>51</v>
      </c>
      <c r="F374" t="s">
        <v>21</v>
      </c>
      <c r="G374" t="s">
        <v>22</v>
      </c>
      <c r="H374">
        <v>5</v>
      </c>
      <c r="I374" s="3">
        <v>77.52</v>
      </c>
      <c r="J374" s="4">
        <v>0.05</v>
      </c>
      <c r="K374" t="s">
        <v>55</v>
      </c>
      <c r="L374" t="s">
        <v>52</v>
      </c>
      <c r="M374">
        <f t="shared" si="25"/>
        <v>368.21999999999997</v>
      </c>
    </row>
    <row r="375" spans="1:13" x14ac:dyDescent="0.2">
      <c r="A375" t="s">
        <v>521</v>
      </c>
      <c r="B375" s="2">
        <v>46195</v>
      </c>
      <c r="C375" s="2" t="str">
        <f t="shared" si="24"/>
        <v>June</v>
      </c>
      <c r="D375" t="s">
        <v>121</v>
      </c>
      <c r="E375" t="s">
        <v>51</v>
      </c>
      <c r="F375" t="s">
        <v>48</v>
      </c>
      <c r="G375" t="s">
        <v>15</v>
      </c>
      <c r="H375">
        <v>8</v>
      </c>
      <c r="I375" s="3">
        <v>92.14</v>
      </c>
      <c r="J375" s="4">
        <v>0</v>
      </c>
      <c r="K375" t="s">
        <v>16</v>
      </c>
      <c r="L375" t="s">
        <v>74</v>
      </c>
      <c r="M375">
        <f t="shared" si="25"/>
        <v>737.12</v>
      </c>
    </row>
    <row r="376" spans="1:13" x14ac:dyDescent="0.2">
      <c r="A376" t="s">
        <v>522</v>
      </c>
      <c r="B376" s="2">
        <v>46197</v>
      </c>
      <c r="C376" s="2" t="str">
        <f t="shared" si="24"/>
        <v>June</v>
      </c>
      <c r="D376" t="s">
        <v>204</v>
      </c>
      <c r="E376" t="s">
        <v>47</v>
      </c>
      <c r="F376" t="s">
        <v>77</v>
      </c>
      <c r="G376" t="s">
        <v>22</v>
      </c>
      <c r="H376">
        <v>2</v>
      </c>
      <c r="I376" s="3">
        <v>347.54</v>
      </c>
      <c r="J376" s="4">
        <v>0</v>
      </c>
      <c r="K376" t="s">
        <v>55</v>
      </c>
      <c r="L376" t="s">
        <v>70</v>
      </c>
      <c r="M376">
        <f t="shared" si="25"/>
        <v>695.08</v>
      </c>
    </row>
    <row r="377" spans="1:13" x14ac:dyDescent="0.2">
      <c r="A377" t="s">
        <v>523</v>
      </c>
      <c r="B377" s="2">
        <v>46197</v>
      </c>
      <c r="C377" s="2" t="str">
        <f t="shared" si="24"/>
        <v>June</v>
      </c>
      <c r="D377" t="s">
        <v>147</v>
      </c>
      <c r="E377" t="s">
        <v>47</v>
      </c>
      <c r="F377" t="s">
        <v>73</v>
      </c>
      <c r="G377" t="s">
        <v>43</v>
      </c>
      <c r="H377">
        <v>1</v>
      </c>
      <c r="I377" s="3">
        <v>215.88</v>
      </c>
      <c r="J377" s="4">
        <v>0.05</v>
      </c>
      <c r="K377" t="s">
        <v>27</v>
      </c>
      <c r="L377" t="s">
        <v>74</v>
      </c>
      <c r="M377">
        <f t="shared" si="25"/>
        <v>205.08599999999998</v>
      </c>
    </row>
    <row r="378" spans="1:13" x14ac:dyDescent="0.2">
      <c r="A378" t="s">
        <v>524</v>
      </c>
      <c r="B378" s="2">
        <v>46197</v>
      </c>
      <c r="C378" s="2" t="str">
        <f t="shared" si="24"/>
        <v>June</v>
      </c>
      <c r="D378" t="s">
        <v>315</v>
      </c>
      <c r="E378" t="s">
        <v>90</v>
      </c>
      <c r="F378" t="s">
        <v>14</v>
      </c>
      <c r="G378" t="s">
        <v>15</v>
      </c>
      <c r="H378">
        <v>8</v>
      </c>
      <c r="I378" s="3">
        <v>60.55</v>
      </c>
      <c r="J378" s="4">
        <v>0.05</v>
      </c>
      <c r="K378" t="s">
        <v>27</v>
      </c>
      <c r="L378" t="s">
        <v>32</v>
      </c>
      <c r="M378">
        <f t="shared" si="25"/>
        <v>460.17999999999995</v>
      </c>
    </row>
    <row r="379" spans="1:13" x14ac:dyDescent="0.2">
      <c r="A379" t="s">
        <v>525</v>
      </c>
      <c r="B379" s="2">
        <v>46198</v>
      </c>
      <c r="C379" s="2" t="str">
        <f t="shared" si="24"/>
        <v>June</v>
      </c>
      <c r="D379" t="s">
        <v>121</v>
      </c>
      <c r="E379" t="s">
        <v>59</v>
      </c>
      <c r="F379" t="s">
        <v>38</v>
      </c>
      <c r="G379" t="s">
        <v>15</v>
      </c>
      <c r="H379">
        <v>3</v>
      </c>
      <c r="I379" s="3">
        <v>29.01</v>
      </c>
      <c r="J379" s="4">
        <v>0</v>
      </c>
      <c r="K379" t="s">
        <v>23</v>
      </c>
      <c r="L379" t="s">
        <v>70</v>
      </c>
      <c r="M379">
        <f t="shared" si="25"/>
        <v>87.03</v>
      </c>
    </row>
    <row r="380" spans="1:13" x14ac:dyDescent="0.2">
      <c r="A380" t="s">
        <v>526</v>
      </c>
      <c r="B380" s="2">
        <v>46198</v>
      </c>
      <c r="C380" s="2" t="str">
        <f t="shared" si="24"/>
        <v>June</v>
      </c>
      <c r="D380" t="s">
        <v>105</v>
      </c>
      <c r="E380" t="s">
        <v>51</v>
      </c>
      <c r="F380" t="s">
        <v>14</v>
      </c>
      <c r="G380" t="s">
        <v>15</v>
      </c>
      <c r="H380">
        <v>1</v>
      </c>
      <c r="I380" s="3">
        <v>61.88</v>
      </c>
      <c r="J380" s="4">
        <v>0</v>
      </c>
      <c r="K380" t="s">
        <v>16</v>
      </c>
      <c r="L380" t="s">
        <v>52</v>
      </c>
      <c r="M380">
        <f t="shared" si="25"/>
        <v>61.88</v>
      </c>
    </row>
    <row r="381" spans="1:13" x14ac:dyDescent="0.2">
      <c r="A381" t="s">
        <v>527</v>
      </c>
      <c r="B381" s="2">
        <v>46198</v>
      </c>
      <c r="C381" s="2" t="str">
        <f t="shared" si="24"/>
        <v>June</v>
      </c>
      <c r="D381" t="s">
        <v>198</v>
      </c>
      <c r="E381" t="s">
        <v>31</v>
      </c>
      <c r="F381" t="s">
        <v>21</v>
      </c>
      <c r="G381" t="s">
        <v>22</v>
      </c>
      <c r="H381">
        <v>5</v>
      </c>
      <c r="I381" s="3">
        <v>79.3</v>
      </c>
      <c r="J381" s="4">
        <v>0.05</v>
      </c>
      <c r="K381" t="s">
        <v>44</v>
      </c>
      <c r="L381" t="s">
        <v>17</v>
      </c>
      <c r="M381">
        <f t="shared" si="25"/>
        <v>376.67499999999995</v>
      </c>
    </row>
    <row r="382" spans="1:13" x14ac:dyDescent="0.2">
      <c r="A382" t="s">
        <v>528</v>
      </c>
      <c r="B382" s="2">
        <v>46199</v>
      </c>
      <c r="C382" s="2" t="str">
        <f t="shared" si="24"/>
        <v>June</v>
      </c>
      <c r="D382" t="s">
        <v>157</v>
      </c>
      <c r="E382" t="s">
        <v>31</v>
      </c>
      <c r="F382" t="s">
        <v>38</v>
      </c>
      <c r="G382" t="s">
        <v>15</v>
      </c>
      <c r="H382">
        <v>2</v>
      </c>
      <c r="I382" s="3">
        <v>27.79</v>
      </c>
      <c r="J382" s="4">
        <v>0.2</v>
      </c>
      <c r="K382" t="s">
        <v>55</v>
      </c>
      <c r="L382" t="s">
        <v>64</v>
      </c>
      <c r="M382">
        <f t="shared" si="25"/>
        <v>44.463999999999999</v>
      </c>
    </row>
    <row r="383" spans="1:13" x14ac:dyDescent="0.2">
      <c r="A383" t="s">
        <v>529</v>
      </c>
      <c r="B383" s="2">
        <v>46200</v>
      </c>
      <c r="C383" s="2" t="str">
        <f t="shared" si="24"/>
        <v>June</v>
      </c>
      <c r="D383" t="s">
        <v>72</v>
      </c>
      <c r="E383" t="s">
        <v>93</v>
      </c>
      <c r="F383" t="s">
        <v>14</v>
      </c>
      <c r="G383" t="s">
        <v>15</v>
      </c>
      <c r="H383">
        <v>4</v>
      </c>
      <c r="I383" s="3">
        <v>58.87</v>
      </c>
      <c r="J383" s="4">
        <v>0.05</v>
      </c>
      <c r="K383" t="s">
        <v>55</v>
      </c>
      <c r="L383" t="s">
        <v>28</v>
      </c>
      <c r="M383">
        <f t="shared" si="25"/>
        <v>223.70599999999999</v>
      </c>
    </row>
    <row r="384" spans="1:13" x14ac:dyDescent="0.2">
      <c r="A384" t="s">
        <v>530</v>
      </c>
      <c r="B384" s="2">
        <v>46200</v>
      </c>
      <c r="C384" s="2" t="str">
        <f t="shared" si="24"/>
        <v>June</v>
      </c>
      <c r="D384" t="s">
        <v>72</v>
      </c>
      <c r="E384" t="s">
        <v>90</v>
      </c>
      <c r="F384" t="s">
        <v>63</v>
      </c>
      <c r="G384" t="s">
        <v>22</v>
      </c>
      <c r="H384">
        <v>1</v>
      </c>
      <c r="I384" s="3">
        <v>1172.1300000000001</v>
      </c>
      <c r="J384" s="4">
        <v>0.15</v>
      </c>
      <c r="K384" t="s">
        <v>23</v>
      </c>
      <c r="L384" t="s">
        <v>56</v>
      </c>
      <c r="M384">
        <f t="shared" si="25"/>
        <v>996.31050000000005</v>
      </c>
    </row>
    <row r="385" spans="1:13" x14ac:dyDescent="0.2">
      <c r="A385" t="s">
        <v>531</v>
      </c>
      <c r="B385" s="2">
        <v>46201</v>
      </c>
      <c r="C385" s="2" t="str">
        <f t="shared" si="24"/>
        <v>June</v>
      </c>
      <c r="D385" t="s">
        <v>19</v>
      </c>
      <c r="E385" t="s">
        <v>31</v>
      </c>
      <c r="F385" t="s">
        <v>114</v>
      </c>
      <c r="G385" t="s">
        <v>43</v>
      </c>
      <c r="H385">
        <v>8</v>
      </c>
      <c r="I385" s="3">
        <v>186.46</v>
      </c>
      <c r="J385" s="4">
        <v>0.15</v>
      </c>
      <c r="K385" t="s">
        <v>27</v>
      </c>
      <c r="L385" t="s">
        <v>52</v>
      </c>
      <c r="M385">
        <f t="shared" si="25"/>
        <v>1267.9280000000001</v>
      </c>
    </row>
    <row r="386" spans="1:13" x14ac:dyDescent="0.2">
      <c r="A386" t="s">
        <v>532</v>
      </c>
      <c r="B386" s="2">
        <v>46202</v>
      </c>
      <c r="C386" s="2" t="str">
        <f t="shared" si="24"/>
        <v>June</v>
      </c>
      <c r="D386" t="s">
        <v>129</v>
      </c>
      <c r="E386" t="s">
        <v>35</v>
      </c>
      <c r="F386" t="s">
        <v>48</v>
      </c>
      <c r="G386" t="s">
        <v>15</v>
      </c>
      <c r="H386">
        <v>1</v>
      </c>
      <c r="I386" s="3">
        <v>91.48</v>
      </c>
      <c r="J386" s="4">
        <v>0</v>
      </c>
      <c r="K386" t="s">
        <v>16</v>
      </c>
      <c r="L386" t="s">
        <v>70</v>
      </c>
      <c r="M386">
        <f t="shared" si="25"/>
        <v>91.48</v>
      </c>
    </row>
    <row r="387" spans="1:13" x14ac:dyDescent="0.2">
      <c r="A387" t="s">
        <v>533</v>
      </c>
      <c r="B387" s="2">
        <v>46202</v>
      </c>
      <c r="C387" s="2" t="str">
        <f t="shared" ref="C387:C450" si="26">TEXT(B387,"mmmm")</f>
        <v>June</v>
      </c>
      <c r="D387" t="s">
        <v>12</v>
      </c>
      <c r="E387" t="s">
        <v>47</v>
      </c>
      <c r="F387" t="s">
        <v>48</v>
      </c>
      <c r="G387" t="s">
        <v>15</v>
      </c>
      <c r="H387">
        <v>2</v>
      </c>
      <c r="I387" s="3">
        <v>97.08</v>
      </c>
      <c r="J387" s="4">
        <v>0.05</v>
      </c>
      <c r="K387" t="s">
        <v>44</v>
      </c>
      <c r="L387" t="s">
        <v>52</v>
      </c>
      <c r="M387">
        <f t="shared" ref="M387:M450" si="27">I387*H387*(1-J387)</f>
        <v>184.452</v>
      </c>
    </row>
    <row r="388" spans="1:13" x14ac:dyDescent="0.2">
      <c r="A388" t="s">
        <v>534</v>
      </c>
      <c r="B388" s="2">
        <v>46202</v>
      </c>
      <c r="C388" s="2" t="str">
        <f t="shared" si="26"/>
        <v>June</v>
      </c>
      <c r="D388" t="s">
        <v>133</v>
      </c>
      <c r="E388" t="s">
        <v>26</v>
      </c>
      <c r="F388" t="s">
        <v>85</v>
      </c>
      <c r="G388" t="s">
        <v>22</v>
      </c>
      <c r="H388">
        <v>1</v>
      </c>
      <c r="I388" s="3">
        <v>508.12</v>
      </c>
      <c r="J388" s="4">
        <v>0</v>
      </c>
      <c r="K388" t="s">
        <v>16</v>
      </c>
      <c r="L388" t="s">
        <v>74</v>
      </c>
      <c r="M388">
        <f t="shared" si="27"/>
        <v>508.12</v>
      </c>
    </row>
    <row r="389" spans="1:13" x14ac:dyDescent="0.2">
      <c r="A389" t="s">
        <v>535</v>
      </c>
      <c r="B389" s="2">
        <v>46202</v>
      </c>
      <c r="C389" s="2" t="str">
        <f t="shared" si="26"/>
        <v>June</v>
      </c>
      <c r="D389" t="s">
        <v>84</v>
      </c>
      <c r="E389" t="s">
        <v>119</v>
      </c>
      <c r="F389" t="s">
        <v>14</v>
      </c>
      <c r="G389" t="s">
        <v>15</v>
      </c>
      <c r="H389">
        <v>3</v>
      </c>
      <c r="I389" s="3">
        <v>55.68</v>
      </c>
      <c r="J389" s="4">
        <v>0.1</v>
      </c>
      <c r="K389" t="s">
        <v>27</v>
      </c>
      <c r="L389" t="s">
        <v>56</v>
      </c>
      <c r="M389">
        <f t="shared" si="27"/>
        <v>150.33599999999998</v>
      </c>
    </row>
    <row r="390" spans="1:13" x14ac:dyDescent="0.2">
      <c r="A390" t="s">
        <v>536</v>
      </c>
      <c r="B390" s="2">
        <v>46205</v>
      </c>
      <c r="C390" s="2" t="str">
        <f t="shared" si="26"/>
        <v>July</v>
      </c>
      <c r="D390" t="s">
        <v>227</v>
      </c>
      <c r="E390" t="s">
        <v>59</v>
      </c>
      <c r="F390" t="s">
        <v>73</v>
      </c>
      <c r="G390" t="s">
        <v>43</v>
      </c>
      <c r="H390">
        <v>5</v>
      </c>
      <c r="I390" s="3">
        <v>210.8</v>
      </c>
      <c r="J390" s="4">
        <v>0.05</v>
      </c>
      <c r="K390" t="s">
        <v>27</v>
      </c>
      <c r="L390" t="s">
        <v>32</v>
      </c>
      <c r="M390">
        <f t="shared" si="27"/>
        <v>1001.3</v>
      </c>
    </row>
    <row r="391" spans="1:13" x14ac:dyDescent="0.2">
      <c r="A391" t="s">
        <v>537</v>
      </c>
      <c r="B391" s="2">
        <v>46205</v>
      </c>
      <c r="C391" s="2" t="str">
        <f t="shared" si="26"/>
        <v>July</v>
      </c>
      <c r="D391" t="s">
        <v>109</v>
      </c>
      <c r="E391" t="s">
        <v>67</v>
      </c>
      <c r="F391" t="s">
        <v>48</v>
      </c>
      <c r="G391" t="s">
        <v>15</v>
      </c>
      <c r="H391">
        <v>1</v>
      </c>
      <c r="I391" s="3">
        <v>89.88</v>
      </c>
      <c r="J391" s="4">
        <v>0.1</v>
      </c>
      <c r="K391" t="s">
        <v>44</v>
      </c>
      <c r="L391" t="s">
        <v>56</v>
      </c>
      <c r="M391">
        <f t="shared" si="27"/>
        <v>80.891999999999996</v>
      </c>
    </row>
    <row r="392" spans="1:13" x14ac:dyDescent="0.2">
      <c r="A392" t="s">
        <v>538</v>
      </c>
      <c r="B392" s="2">
        <v>46206</v>
      </c>
      <c r="C392" s="2" t="str">
        <f t="shared" si="26"/>
        <v>July</v>
      </c>
      <c r="D392" t="s">
        <v>72</v>
      </c>
      <c r="E392" t="s">
        <v>26</v>
      </c>
      <c r="F392" t="s">
        <v>63</v>
      </c>
      <c r="G392" t="s">
        <v>22</v>
      </c>
      <c r="H392">
        <v>6</v>
      </c>
      <c r="I392" s="3">
        <v>1191.83</v>
      </c>
      <c r="J392" s="4">
        <v>0.1</v>
      </c>
      <c r="K392" t="s">
        <v>55</v>
      </c>
      <c r="L392" t="s">
        <v>74</v>
      </c>
      <c r="M392">
        <f t="shared" si="27"/>
        <v>6435.8819999999996</v>
      </c>
    </row>
    <row r="393" spans="1:13" x14ac:dyDescent="0.2">
      <c r="A393" t="s">
        <v>539</v>
      </c>
      <c r="B393" s="2">
        <v>46207</v>
      </c>
      <c r="C393" s="2" t="str">
        <f t="shared" si="26"/>
        <v>July</v>
      </c>
      <c r="D393" t="s">
        <v>209</v>
      </c>
      <c r="E393" t="s">
        <v>59</v>
      </c>
      <c r="F393" t="s">
        <v>42</v>
      </c>
      <c r="G393" t="s">
        <v>43</v>
      </c>
      <c r="H393">
        <v>4</v>
      </c>
      <c r="I393" s="3">
        <v>264.39</v>
      </c>
      <c r="J393" s="4">
        <v>0.05</v>
      </c>
      <c r="K393" t="s">
        <v>16</v>
      </c>
      <c r="L393" t="s">
        <v>17</v>
      </c>
      <c r="M393">
        <f t="shared" si="27"/>
        <v>1004.6819999999999</v>
      </c>
    </row>
    <row r="394" spans="1:13" x14ac:dyDescent="0.2">
      <c r="A394" t="s">
        <v>540</v>
      </c>
      <c r="B394" s="2">
        <v>46208</v>
      </c>
      <c r="C394" s="2" t="str">
        <f t="shared" si="26"/>
        <v>July</v>
      </c>
      <c r="D394" t="s">
        <v>151</v>
      </c>
      <c r="E394" t="s">
        <v>51</v>
      </c>
      <c r="F394" t="s">
        <v>73</v>
      </c>
      <c r="G394" t="s">
        <v>43</v>
      </c>
      <c r="H394">
        <v>1</v>
      </c>
      <c r="I394" s="3">
        <v>218.72</v>
      </c>
      <c r="J394" s="4">
        <v>0</v>
      </c>
      <c r="K394" t="s">
        <v>55</v>
      </c>
      <c r="L394" t="s">
        <v>52</v>
      </c>
      <c r="M394">
        <f t="shared" si="27"/>
        <v>218.72</v>
      </c>
    </row>
    <row r="395" spans="1:13" x14ac:dyDescent="0.2">
      <c r="A395" t="s">
        <v>541</v>
      </c>
      <c r="B395" s="2">
        <v>46208</v>
      </c>
      <c r="C395" s="2" t="str">
        <f t="shared" si="26"/>
        <v>July</v>
      </c>
      <c r="D395" t="s">
        <v>469</v>
      </c>
      <c r="E395" t="s">
        <v>35</v>
      </c>
      <c r="F395" t="s">
        <v>21</v>
      </c>
      <c r="G395" t="s">
        <v>22</v>
      </c>
      <c r="H395">
        <v>2</v>
      </c>
      <c r="I395" s="3">
        <v>70.25</v>
      </c>
      <c r="J395" s="4">
        <v>0.1</v>
      </c>
      <c r="K395" t="s">
        <v>55</v>
      </c>
      <c r="L395" t="s">
        <v>17</v>
      </c>
      <c r="M395">
        <f t="shared" si="27"/>
        <v>126.45</v>
      </c>
    </row>
    <row r="396" spans="1:13" x14ac:dyDescent="0.2">
      <c r="A396" t="s">
        <v>542</v>
      </c>
      <c r="B396" s="2">
        <v>46209</v>
      </c>
      <c r="C396" s="2" t="str">
        <f t="shared" si="26"/>
        <v>July</v>
      </c>
      <c r="D396" t="s">
        <v>34</v>
      </c>
      <c r="E396" t="s">
        <v>67</v>
      </c>
      <c r="F396" t="s">
        <v>77</v>
      </c>
      <c r="G396" t="s">
        <v>22</v>
      </c>
      <c r="H396">
        <v>2</v>
      </c>
      <c r="I396" s="3">
        <v>345.5</v>
      </c>
      <c r="J396" s="4">
        <v>0.15</v>
      </c>
      <c r="K396" t="s">
        <v>44</v>
      </c>
      <c r="L396" t="s">
        <v>56</v>
      </c>
      <c r="M396">
        <f t="shared" si="27"/>
        <v>587.35</v>
      </c>
    </row>
    <row r="397" spans="1:13" x14ac:dyDescent="0.2">
      <c r="A397" t="s">
        <v>543</v>
      </c>
      <c r="B397" s="2">
        <v>46209</v>
      </c>
      <c r="C397" s="2" t="str">
        <f t="shared" si="26"/>
        <v>July</v>
      </c>
      <c r="D397" t="s">
        <v>103</v>
      </c>
      <c r="E397" t="s">
        <v>119</v>
      </c>
      <c r="F397" t="s">
        <v>42</v>
      </c>
      <c r="G397" t="s">
        <v>43</v>
      </c>
      <c r="H397">
        <v>1</v>
      </c>
      <c r="I397" s="3">
        <v>289.38</v>
      </c>
      <c r="J397" s="4">
        <v>0.05</v>
      </c>
      <c r="K397" t="s">
        <v>27</v>
      </c>
      <c r="L397" t="s">
        <v>56</v>
      </c>
      <c r="M397">
        <f t="shared" si="27"/>
        <v>274.911</v>
      </c>
    </row>
    <row r="398" spans="1:13" x14ac:dyDescent="0.2">
      <c r="A398" t="s">
        <v>544</v>
      </c>
      <c r="B398" s="2">
        <v>46210</v>
      </c>
      <c r="C398" s="2" t="str">
        <f t="shared" si="26"/>
        <v>July</v>
      </c>
      <c r="D398" t="s">
        <v>58</v>
      </c>
      <c r="E398" t="s">
        <v>35</v>
      </c>
      <c r="F398" t="s">
        <v>85</v>
      </c>
      <c r="G398" t="s">
        <v>22</v>
      </c>
      <c r="H398">
        <v>2</v>
      </c>
      <c r="I398" s="3">
        <v>505.78</v>
      </c>
      <c r="J398" s="4">
        <v>0.05</v>
      </c>
      <c r="K398" t="s">
        <v>16</v>
      </c>
      <c r="L398" t="s">
        <v>74</v>
      </c>
      <c r="M398">
        <f t="shared" si="27"/>
        <v>960.98199999999986</v>
      </c>
    </row>
    <row r="399" spans="1:13" x14ac:dyDescent="0.2">
      <c r="A399" t="s">
        <v>545</v>
      </c>
      <c r="B399" s="2">
        <v>46210</v>
      </c>
      <c r="C399" s="2" t="str">
        <f t="shared" si="26"/>
        <v>July</v>
      </c>
      <c r="D399" t="s">
        <v>238</v>
      </c>
      <c r="E399" t="s">
        <v>20</v>
      </c>
      <c r="F399" t="s">
        <v>38</v>
      </c>
      <c r="G399" t="s">
        <v>15</v>
      </c>
      <c r="H399">
        <v>3</v>
      </c>
      <c r="I399" s="3">
        <v>31.59</v>
      </c>
      <c r="J399" s="4">
        <v>0</v>
      </c>
      <c r="K399" t="s">
        <v>44</v>
      </c>
      <c r="L399" t="s">
        <v>17</v>
      </c>
      <c r="M399">
        <f t="shared" si="27"/>
        <v>94.77</v>
      </c>
    </row>
    <row r="400" spans="1:13" x14ac:dyDescent="0.2">
      <c r="A400" t="s">
        <v>546</v>
      </c>
      <c r="B400" s="2">
        <v>46210</v>
      </c>
      <c r="C400" s="2" t="str">
        <f t="shared" si="26"/>
        <v>July</v>
      </c>
      <c r="D400" t="s">
        <v>547</v>
      </c>
      <c r="E400" t="s">
        <v>20</v>
      </c>
      <c r="F400" t="s">
        <v>21</v>
      </c>
      <c r="G400" t="s">
        <v>22</v>
      </c>
      <c r="H400">
        <v>2</v>
      </c>
      <c r="I400" s="3">
        <v>69.31</v>
      </c>
      <c r="J400" s="4">
        <v>0</v>
      </c>
      <c r="K400" t="s">
        <v>44</v>
      </c>
      <c r="L400" t="s">
        <v>32</v>
      </c>
      <c r="M400">
        <f t="shared" si="27"/>
        <v>138.62</v>
      </c>
    </row>
    <row r="401" spans="1:13" x14ac:dyDescent="0.2">
      <c r="A401" t="s">
        <v>548</v>
      </c>
      <c r="B401" s="2">
        <v>46211</v>
      </c>
      <c r="C401" s="2" t="str">
        <f t="shared" si="26"/>
        <v>July</v>
      </c>
      <c r="D401" t="s">
        <v>266</v>
      </c>
      <c r="E401" t="s">
        <v>35</v>
      </c>
      <c r="F401" t="s">
        <v>14</v>
      </c>
      <c r="G401" t="s">
        <v>15</v>
      </c>
      <c r="H401">
        <v>2</v>
      </c>
      <c r="I401" s="3">
        <v>59.5</v>
      </c>
      <c r="J401" s="4">
        <v>0.05</v>
      </c>
      <c r="K401" t="s">
        <v>27</v>
      </c>
      <c r="L401" t="s">
        <v>52</v>
      </c>
      <c r="M401">
        <f t="shared" si="27"/>
        <v>113.05</v>
      </c>
    </row>
    <row r="402" spans="1:13" x14ac:dyDescent="0.2">
      <c r="A402" t="s">
        <v>549</v>
      </c>
      <c r="B402" s="2">
        <v>46211</v>
      </c>
      <c r="C402" s="2" t="str">
        <f t="shared" si="26"/>
        <v>July</v>
      </c>
      <c r="D402" t="s">
        <v>219</v>
      </c>
      <c r="E402" t="s">
        <v>51</v>
      </c>
      <c r="F402" t="s">
        <v>114</v>
      </c>
      <c r="G402" t="s">
        <v>43</v>
      </c>
      <c r="H402">
        <v>3</v>
      </c>
      <c r="I402" s="3">
        <v>171.53</v>
      </c>
      <c r="J402" s="4">
        <v>0.1</v>
      </c>
      <c r="K402" t="s">
        <v>23</v>
      </c>
      <c r="L402" t="s">
        <v>56</v>
      </c>
      <c r="M402">
        <f t="shared" si="27"/>
        <v>463.13100000000003</v>
      </c>
    </row>
    <row r="403" spans="1:13" x14ac:dyDescent="0.2">
      <c r="A403" t="s">
        <v>550</v>
      </c>
      <c r="B403" s="2">
        <v>46211</v>
      </c>
      <c r="C403" s="2" t="str">
        <f t="shared" si="26"/>
        <v>July</v>
      </c>
      <c r="D403" t="s">
        <v>551</v>
      </c>
      <c r="E403" t="s">
        <v>26</v>
      </c>
      <c r="F403" t="s">
        <v>42</v>
      </c>
      <c r="G403" t="s">
        <v>43</v>
      </c>
      <c r="H403">
        <v>8</v>
      </c>
      <c r="I403" s="3">
        <v>298.06</v>
      </c>
      <c r="J403" s="4">
        <v>0.1</v>
      </c>
      <c r="K403" t="s">
        <v>16</v>
      </c>
      <c r="L403" t="s">
        <v>64</v>
      </c>
      <c r="M403">
        <f t="shared" si="27"/>
        <v>2146.0320000000002</v>
      </c>
    </row>
    <row r="404" spans="1:13" x14ac:dyDescent="0.2">
      <c r="A404" t="s">
        <v>552</v>
      </c>
      <c r="B404" s="2">
        <v>46212</v>
      </c>
      <c r="C404" s="2" t="str">
        <f t="shared" si="26"/>
        <v>July</v>
      </c>
      <c r="D404" t="s">
        <v>109</v>
      </c>
      <c r="E404" t="s">
        <v>90</v>
      </c>
      <c r="F404" t="s">
        <v>77</v>
      </c>
      <c r="G404" t="s">
        <v>22</v>
      </c>
      <c r="H404">
        <v>8</v>
      </c>
      <c r="I404" s="3">
        <v>374.61</v>
      </c>
      <c r="J404" s="4">
        <v>0.1</v>
      </c>
      <c r="K404" t="s">
        <v>55</v>
      </c>
      <c r="L404" t="s">
        <v>56</v>
      </c>
      <c r="M404">
        <f t="shared" si="27"/>
        <v>2697.192</v>
      </c>
    </row>
    <row r="405" spans="1:13" x14ac:dyDescent="0.2">
      <c r="A405" t="s">
        <v>553</v>
      </c>
      <c r="B405" s="2">
        <v>46213</v>
      </c>
      <c r="C405" s="2" t="str">
        <f t="shared" si="26"/>
        <v>July</v>
      </c>
      <c r="D405" t="s">
        <v>133</v>
      </c>
      <c r="E405" t="s">
        <v>62</v>
      </c>
      <c r="F405" t="s">
        <v>73</v>
      </c>
      <c r="G405" t="s">
        <v>43</v>
      </c>
      <c r="H405">
        <v>4</v>
      </c>
      <c r="I405" s="3">
        <v>236.27</v>
      </c>
      <c r="J405" s="4">
        <v>0.05</v>
      </c>
      <c r="K405" t="s">
        <v>27</v>
      </c>
      <c r="L405" t="s">
        <v>28</v>
      </c>
      <c r="M405">
        <f t="shared" si="27"/>
        <v>897.82600000000002</v>
      </c>
    </row>
    <row r="406" spans="1:13" x14ac:dyDescent="0.2">
      <c r="A406" t="s">
        <v>554</v>
      </c>
      <c r="B406" s="2">
        <v>46214</v>
      </c>
      <c r="C406" s="2" t="str">
        <f t="shared" si="26"/>
        <v>July</v>
      </c>
      <c r="D406" t="s">
        <v>101</v>
      </c>
      <c r="E406" t="s">
        <v>59</v>
      </c>
      <c r="F406" t="s">
        <v>63</v>
      </c>
      <c r="G406" t="s">
        <v>22</v>
      </c>
      <c r="H406">
        <v>5</v>
      </c>
      <c r="I406" s="3">
        <v>1180.26</v>
      </c>
      <c r="J406" s="4">
        <v>0</v>
      </c>
      <c r="K406" t="s">
        <v>16</v>
      </c>
      <c r="L406" t="s">
        <v>52</v>
      </c>
      <c r="M406">
        <f t="shared" si="27"/>
        <v>5901.3</v>
      </c>
    </row>
    <row r="407" spans="1:13" x14ac:dyDescent="0.2">
      <c r="A407" t="s">
        <v>555</v>
      </c>
      <c r="B407" s="2">
        <v>46214</v>
      </c>
      <c r="C407" s="2" t="str">
        <f t="shared" si="26"/>
        <v>July</v>
      </c>
      <c r="D407" t="s">
        <v>400</v>
      </c>
      <c r="E407" t="s">
        <v>41</v>
      </c>
      <c r="F407" t="s">
        <v>85</v>
      </c>
      <c r="G407" t="s">
        <v>22</v>
      </c>
      <c r="H407">
        <v>2</v>
      </c>
      <c r="I407" s="3">
        <v>462.48</v>
      </c>
      <c r="J407" s="4">
        <v>0</v>
      </c>
      <c r="K407" t="s">
        <v>44</v>
      </c>
      <c r="L407" t="s">
        <v>64</v>
      </c>
      <c r="M407">
        <f t="shared" si="27"/>
        <v>924.96</v>
      </c>
    </row>
    <row r="408" spans="1:13" x14ac:dyDescent="0.2">
      <c r="A408" t="s">
        <v>556</v>
      </c>
      <c r="B408" s="2">
        <v>46215</v>
      </c>
      <c r="C408" s="2" t="str">
        <f t="shared" si="26"/>
        <v>July</v>
      </c>
      <c r="D408" t="s">
        <v>268</v>
      </c>
      <c r="E408" t="s">
        <v>41</v>
      </c>
      <c r="F408" t="s">
        <v>14</v>
      </c>
      <c r="G408" t="s">
        <v>15</v>
      </c>
      <c r="H408">
        <v>4</v>
      </c>
      <c r="I408" s="3">
        <v>60.79</v>
      </c>
      <c r="J408" s="4">
        <v>0</v>
      </c>
      <c r="K408" t="s">
        <v>44</v>
      </c>
      <c r="L408" t="s">
        <v>64</v>
      </c>
      <c r="M408">
        <f t="shared" si="27"/>
        <v>243.16</v>
      </c>
    </row>
    <row r="409" spans="1:13" x14ac:dyDescent="0.2">
      <c r="A409" t="s">
        <v>557</v>
      </c>
      <c r="B409" s="2">
        <v>46216</v>
      </c>
      <c r="C409" s="2" t="str">
        <f t="shared" si="26"/>
        <v>July</v>
      </c>
      <c r="D409" t="s">
        <v>137</v>
      </c>
      <c r="E409" t="s">
        <v>41</v>
      </c>
      <c r="F409" t="s">
        <v>48</v>
      </c>
      <c r="G409" t="s">
        <v>15</v>
      </c>
      <c r="H409">
        <v>1</v>
      </c>
      <c r="I409" s="3">
        <v>97.06</v>
      </c>
      <c r="J409" s="4">
        <v>0.05</v>
      </c>
      <c r="K409" t="s">
        <v>23</v>
      </c>
      <c r="L409" t="s">
        <v>64</v>
      </c>
      <c r="M409">
        <f t="shared" si="27"/>
        <v>92.206999999999994</v>
      </c>
    </row>
    <row r="410" spans="1:13" x14ac:dyDescent="0.2">
      <c r="A410" t="s">
        <v>558</v>
      </c>
      <c r="B410" s="2">
        <v>46216</v>
      </c>
      <c r="C410" s="2" t="str">
        <f t="shared" si="26"/>
        <v>July</v>
      </c>
      <c r="D410" t="s">
        <v>266</v>
      </c>
      <c r="E410" t="s">
        <v>80</v>
      </c>
      <c r="F410" t="s">
        <v>38</v>
      </c>
      <c r="G410" t="s">
        <v>15</v>
      </c>
      <c r="H410">
        <v>4</v>
      </c>
      <c r="I410" s="3">
        <v>28.48</v>
      </c>
      <c r="J410" s="4">
        <v>0.05</v>
      </c>
      <c r="K410" t="s">
        <v>44</v>
      </c>
      <c r="L410" t="s">
        <v>32</v>
      </c>
      <c r="M410">
        <f t="shared" si="27"/>
        <v>108.22399999999999</v>
      </c>
    </row>
    <row r="411" spans="1:13" x14ac:dyDescent="0.2">
      <c r="A411" t="s">
        <v>559</v>
      </c>
      <c r="B411" s="2">
        <v>46218</v>
      </c>
      <c r="C411" s="2" t="str">
        <f t="shared" si="26"/>
        <v>July</v>
      </c>
      <c r="D411" t="s">
        <v>103</v>
      </c>
      <c r="E411" t="s">
        <v>35</v>
      </c>
      <c r="F411" t="s">
        <v>73</v>
      </c>
      <c r="G411" t="s">
        <v>43</v>
      </c>
      <c r="H411">
        <v>2</v>
      </c>
      <c r="I411" s="3">
        <v>207.65</v>
      </c>
      <c r="J411" s="4">
        <v>0</v>
      </c>
      <c r="K411" t="s">
        <v>55</v>
      </c>
      <c r="L411" t="s">
        <v>64</v>
      </c>
      <c r="M411">
        <f t="shared" si="27"/>
        <v>415.3</v>
      </c>
    </row>
    <row r="412" spans="1:13" x14ac:dyDescent="0.2">
      <c r="A412" t="s">
        <v>560</v>
      </c>
      <c r="B412" s="2">
        <v>46219</v>
      </c>
      <c r="C412" s="2" t="str">
        <f t="shared" si="26"/>
        <v>July</v>
      </c>
      <c r="D412" t="s">
        <v>493</v>
      </c>
      <c r="E412" t="s">
        <v>47</v>
      </c>
      <c r="F412" t="s">
        <v>114</v>
      </c>
      <c r="G412" t="s">
        <v>43</v>
      </c>
      <c r="H412">
        <v>2</v>
      </c>
      <c r="I412" s="3">
        <v>179.78</v>
      </c>
      <c r="J412" s="4">
        <v>0.05</v>
      </c>
      <c r="K412" t="s">
        <v>55</v>
      </c>
      <c r="L412" t="s">
        <v>32</v>
      </c>
      <c r="M412">
        <f t="shared" si="27"/>
        <v>341.58199999999999</v>
      </c>
    </row>
    <row r="413" spans="1:13" x14ac:dyDescent="0.2">
      <c r="A413" t="s">
        <v>561</v>
      </c>
      <c r="B413" s="2">
        <v>46219</v>
      </c>
      <c r="C413" s="2" t="str">
        <f t="shared" si="26"/>
        <v>July</v>
      </c>
      <c r="D413" t="s">
        <v>336</v>
      </c>
      <c r="E413" t="s">
        <v>13</v>
      </c>
      <c r="F413" t="s">
        <v>77</v>
      </c>
      <c r="G413" t="s">
        <v>22</v>
      </c>
      <c r="H413">
        <v>1</v>
      </c>
      <c r="I413" s="3">
        <v>360.74</v>
      </c>
      <c r="J413" s="4">
        <v>0</v>
      </c>
      <c r="K413" t="s">
        <v>44</v>
      </c>
      <c r="L413" t="s">
        <v>74</v>
      </c>
      <c r="M413">
        <f t="shared" si="27"/>
        <v>360.74</v>
      </c>
    </row>
    <row r="414" spans="1:13" x14ac:dyDescent="0.2">
      <c r="A414" t="s">
        <v>562</v>
      </c>
      <c r="B414" s="2">
        <v>46220</v>
      </c>
      <c r="C414" s="2" t="str">
        <f t="shared" si="26"/>
        <v>July</v>
      </c>
      <c r="D414" t="s">
        <v>456</v>
      </c>
      <c r="E414" t="s">
        <v>13</v>
      </c>
      <c r="F414" t="s">
        <v>48</v>
      </c>
      <c r="G414" t="s">
        <v>15</v>
      </c>
      <c r="H414">
        <v>8</v>
      </c>
      <c r="I414" s="3">
        <v>84.56</v>
      </c>
      <c r="J414" s="4">
        <v>0</v>
      </c>
      <c r="K414" t="s">
        <v>27</v>
      </c>
      <c r="L414" t="s">
        <v>56</v>
      </c>
      <c r="M414">
        <f t="shared" si="27"/>
        <v>676.48</v>
      </c>
    </row>
    <row r="415" spans="1:13" x14ac:dyDescent="0.2">
      <c r="A415" t="s">
        <v>563</v>
      </c>
      <c r="B415" s="2">
        <v>46221</v>
      </c>
      <c r="C415" s="2" t="str">
        <f t="shared" si="26"/>
        <v>July</v>
      </c>
      <c r="D415" t="s">
        <v>87</v>
      </c>
      <c r="E415" t="s">
        <v>31</v>
      </c>
      <c r="F415" t="s">
        <v>63</v>
      </c>
      <c r="G415" t="s">
        <v>22</v>
      </c>
      <c r="H415">
        <v>5</v>
      </c>
      <c r="I415" s="3">
        <v>1158.4000000000001</v>
      </c>
      <c r="J415" s="4">
        <v>0</v>
      </c>
      <c r="K415" t="s">
        <v>23</v>
      </c>
      <c r="L415" t="s">
        <v>70</v>
      </c>
      <c r="M415">
        <f t="shared" si="27"/>
        <v>5792</v>
      </c>
    </row>
    <row r="416" spans="1:13" x14ac:dyDescent="0.2">
      <c r="A416" t="s">
        <v>564</v>
      </c>
      <c r="B416" s="2">
        <v>46221</v>
      </c>
      <c r="C416" s="2" t="str">
        <f t="shared" si="26"/>
        <v>July</v>
      </c>
      <c r="D416" t="s">
        <v>227</v>
      </c>
      <c r="E416" t="s">
        <v>51</v>
      </c>
      <c r="F416" t="s">
        <v>77</v>
      </c>
      <c r="G416" t="s">
        <v>22</v>
      </c>
      <c r="H416">
        <v>3</v>
      </c>
      <c r="I416" s="3">
        <v>322.16000000000003</v>
      </c>
      <c r="J416" s="4">
        <v>0.1</v>
      </c>
      <c r="K416" t="s">
        <v>16</v>
      </c>
      <c r="L416" t="s">
        <v>74</v>
      </c>
      <c r="M416">
        <f t="shared" si="27"/>
        <v>869.83199999999999</v>
      </c>
    </row>
    <row r="417" spans="1:13" x14ac:dyDescent="0.2">
      <c r="A417" t="s">
        <v>565</v>
      </c>
      <c r="B417" s="2">
        <v>46222</v>
      </c>
      <c r="C417" s="2" t="str">
        <f t="shared" si="26"/>
        <v>July</v>
      </c>
      <c r="D417" t="s">
        <v>133</v>
      </c>
      <c r="E417" t="s">
        <v>51</v>
      </c>
      <c r="F417" t="s">
        <v>73</v>
      </c>
      <c r="G417" t="s">
        <v>43</v>
      </c>
      <c r="H417">
        <v>4</v>
      </c>
      <c r="I417" s="3">
        <v>224.83</v>
      </c>
      <c r="J417" s="4">
        <v>0.1</v>
      </c>
      <c r="K417" t="s">
        <v>27</v>
      </c>
      <c r="L417" t="s">
        <v>52</v>
      </c>
      <c r="M417">
        <f t="shared" si="27"/>
        <v>809.38800000000003</v>
      </c>
    </row>
    <row r="418" spans="1:13" x14ac:dyDescent="0.2">
      <c r="A418" t="s">
        <v>566</v>
      </c>
      <c r="B418" s="2">
        <v>46222</v>
      </c>
      <c r="C418" s="2" t="str">
        <f t="shared" si="26"/>
        <v>July</v>
      </c>
      <c r="D418" t="s">
        <v>190</v>
      </c>
      <c r="E418" t="s">
        <v>26</v>
      </c>
      <c r="F418" t="s">
        <v>73</v>
      </c>
      <c r="G418" t="s">
        <v>43</v>
      </c>
      <c r="H418">
        <v>1</v>
      </c>
      <c r="I418" s="3">
        <v>232.25</v>
      </c>
      <c r="J418" s="4">
        <v>0</v>
      </c>
      <c r="K418" t="s">
        <v>16</v>
      </c>
      <c r="L418" t="s">
        <v>32</v>
      </c>
      <c r="M418">
        <f t="shared" si="27"/>
        <v>232.25</v>
      </c>
    </row>
    <row r="419" spans="1:13" x14ac:dyDescent="0.2">
      <c r="A419" t="s">
        <v>567</v>
      </c>
      <c r="B419" s="2">
        <v>46223</v>
      </c>
      <c r="C419" s="2" t="str">
        <f t="shared" si="26"/>
        <v>July</v>
      </c>
      <c r="D419" t="s">
        <v>315</v>
      </c>
      <c r="E419" t="s">
        <v>13</v>
      </c>
      <c r="F419" t="s">
        <v>38</v>
      </c>
      <c r="G419" t="s">
        <v>15</v>
      </c>
      <c r="H419">
        <v>1</v>
      </c>
      <c r="I419" s="3">
        <v>27.76</v>
      </c>
      <c r="J419" s="4">
        <v>0.05</v>
      </c>
      <c r="K419" t="s">
        <v>55</v>
      </c>
      <c r="L419" t="s">
        <v>74</v>
      </c>
      <c r="M419">
        <f t="shared" si="27"/>
        <v>26.372</v>
      </c>
    </row>
    <row r="420" spans="1:13" x14ac:dyDescent="0.2">
      <c r="A420" t="s">
        <v>568</v>
      </c>
      <c r="B420" s="2">
        <v>46223</v>
      </c>
      <c r="C420" s="2" t="str">
        <f t="shared" si="26"/>
        <v>July</v>
      </c>
      <c r="D420" t="s">
        <v>230</v>
      </c>
      <c r="E420" t="s">
        <v>31</v>
      </c>
      <c r="F420" t="s">
        <v>21</v>
      </c>
      <c r="G420" t="s">
        <v>22</v>
      </c>
      <c r="H420">
        <v>2</v>
      </c>
      <c r="I420" s="3">
        <v>73.790000000000006</v>
      </c>
      <c r="J420" s="4">
        <v>0.05</v>
      </c>
      <c r="K420" t="s">
        <v>23</v>
      </c>
      <c r="L420" t="s">
        <v>52</v>
      </c>
      <c r="M420">
        <f t="shared" si="27"/>
        <v>140.20099999999999</v>
      </c>
    </row>
    <row r="421" spans="1:13" x14ac:dyDescent="0.2">
      <c r="A421" t="s">
        <v>569</v>
      </c>
      <c r="B421" s="2">
        <v>46224</v>
      </c>
      <c r="C421" s="2" t="str">
        <f t="shared" si="26"/>
        <v>July</v>
      </c>
      <c r="D421" t="s">
        <v>95</v>
      </c>
      <c r="E421" t="s">
        <v>51</v>
      </c>
      <c r="F421" t="s">
        <v>77</v>
      </c>
      <c r="G421" t="s">
        <v>22</v>
      </c>
      <c r="H421">
        <v>4</v>
      </c>
      <c r="I421" s="3">
        <v>374.9</v>
      </c>
      <c r="J421" s="4">
        <v>0.1</v>
      </c>
      <c r="K421" t="s">
        <v>23</v>
      </c>
      <c r="L421" t="s">
        <v>56</v>
      </c>
      <c r="M421">
        <f t="shared" si="27"/>
        <v>1349.6399999999999</v>
      </c>
    </row>
    <row r="422" spans="1:13" x14ac:dyDescent="0.2">
      <c r="A422" t="s">
        <v>570</v>
      </c>
      <c r="B422" s="2">
        <v>46224</v>
      </c>
      <c r="C422" s="2" t="str">
        <f t="shared" si="26"/>
        <v>July</v>
      </c>
      <c r="D422" t="s">
        <v>257</v>
      </c>
      <c r="E422" t="s">
        <v>80</v>
      </c>
      <c r="F422" t="s">
        <v>63</v>
      </c>
      <c r="G422" t="s">
        <v>22</v>
      </c>
      <c r="H422">
        <v>1</v>
      </c>
      <c r="I422" s="3">
        <v>1192.26</v>
      </c>
      <c r="J422" s="4">
        <v>0.1</v>
      </c>
      <c r="K422" t="s">
        <v>44</v>
      </c>
      <c r="L422" t="s">
        <v>28</v>
      </c>
      <c r="M422">
        <f t="shared" si="27"/>
        <v>1073.0340000000001</v>
      </c>
    </row>
    <row r="423" spans="1:13" x14ac:dyDescent="0.2">
      <c r="A423" t="s">
        <v>571</v>
      </c>
      <c r="B423" s="2">
        <v>46224</v>
      </c>
      <c r="C423" s="2" t="str">
        <f t="shared" si="26"/>
        <v>July</v>
      </c>
      <c r="D423" t="s">
        <v>37</v>
      </c>
      <c r="E423" t="s">
        <v>62</v>
      </c>
      <c r="F423" t="s">
        <v>114</v>
      </c>
      <c r="G423" t="s">
        <v>43</v>
      </c>
      <c r="H423">
        <v>1</v>
      </c>
      <c r="I423" s="3">
        <v>173.56</v>
      </c>
      <c r="J423" s="4">
        <v>0</v>
      </c>
      <c r="K423" t="s">
        <v>23</v>
      </c>
      <c r="L423" t="s">
        <v>28</v>
      </c>
      <c r="M423">
        <f t="shared" si="27"/>
        <v>173.56</v>
      </c>
    </row>
    <row r="424" spans="1:13" x14ac:dyDescent="0.2">
      <c r="A424" t="s">
        <v>572</v>
      </c>
      <c r="B424" s="2">
        <v>46224</v>
      </c>
      <c r="C424" s="2" t="str">
        <f t="shared" si="26"/>
        <v>July</v>
      </c>
      <c r="D424" t="s">
        <v>268</v>
      </c>
      <c r="E424" t="s">
        <v>47</v>
      </c>
      <c r="F424" t="s">
        <v>48</v>
      </c>
      <c r="G424" t="s">
        <v>15</v>
      </c>
      <c r="H424">
        <v>4</v>
      </c>
      <c r="I424" s="3">
        <v>92.14</v>
      </c>
      <c r="J424" s="4">
        <v>0.05</v>
      </c>
      <c r="K424" t="s">
        <v>27</v>
      </c>
      <c r="L424" t="s">
        <v>17</v>
      </c>
      <c r="M424">
        <f t="shared" si="27"/>
        <v>350.13200000000001</v>
      </c>
    </row>
    <row r="425" spans="1:13" x14ac:dyDescent="0.2">
      <c r="A425" t="s">
        <v>573</v>
      </c>
      <c r="B425" s="2">
        <v>46225</v>
      </c>
      <c r="C425" s="2" t="str">
        <f t="shared" si="26"/>
        <v>July</v>
      </c>
      <c r="D425" t="s">
        <v>211</v>
      </c>
      <c r="E425" t="s">
        <v>26</v>
      </c>
      <c r="F425" t="s">
        <v>48</v>
      </c>
      <c r="G425" t="s">
        <v>15</v>
      </c>
      <c r="H425">
        <v>10</v>
      </c>
      <c r="I425" s="3">
        <v>92.48</v>
      </c>
      <c r="J425" s="4">
        <v>0</v>
      </c>
      <c r="K425" t="s">
        <v>27</v>
      </c>
      <c r="L425" t="s">
        <v>70</v>
      </c>
      <c r="M425">
        <f t="shared" si="27"/>
        <v>924.80000000000007</v>
      </c>
    </row>
    <row r="426" spans="1:13" x14ac:dyDescent="0.2">
      <c r="A426" t="s">
        <v>574</v>
      </c>
      <c r="B426" s="2">
        <v>46225</v>
      </c>
      <c r="C426" s="2" t="str">
        <f t="shared" si="26"/>
        <v>July</v>
      </c>
      <c r="D426" t="s">
        <v>30</v>
      </c>
      <c r="E426" t="s">
        <v>59</v>
      </c>
      <c r="F426" t="s">
        <v>63</v>
      </c>
      <c r="G426" t="s">
        <v>22</v>
      </c>
      <c r="H426">
        <v>5</v>
      </c>
      <c r="I426" s="3">
        <v>1261.21</v>
      </c>
      <c r="J426" s="4">
        <v>0</v>
      </c>
      <c r="K426" t="s">
        <v>23</v>
      </c>
      <c r="L426" t="s">
        <v>64</v>
      </c>
      <c r="M426">
        <f t="shared" si="27"/>
        <v>6306.05</v>
      </c>
    </row>
    <row r="427" spans="1:13" x14ac:dyDescent="0.2">
      <c r="A427" t="s">
        <v>575</v>
      </c>
      <c r="B427" s="2">
        <v>46225</v>
      </c>
      <c r="C427" s="2" t="str">
        <f t="shared" si="26"/>
        <v>July</v>
      </c>
      <c r="D427" t="s">
        <v>137</v>
      </c>
      <c r="E427" t="s">
        <v>47</v>
      </c>
      <c r="F427" t="s">
        <v>14</v>
      </c>
      <c r="G427" t="s">
        <v>15</v>
      </c>
      <c r="H427">
        <v>5</v>
      </c>
      <c r="I427" s="3">
        <v>57.41</v>
      </c>
      <c r="J427" s="4">
        <v>0.1</v>
      </c>
      <c r="K427" t="s">
        <v>27</v>
      </c>
      <c r="L427" t="s">
        <v>28</v>
      </c>
      <c r="M427">
        <f t="shared" si="27"/>
        <v>258.34499999999997</v>
      </c>
    </row>
    <row r="428" spans="1:13" x14ac:dyDescent="0.2">
      <c r="A428" t="s">
        <v>576</v>
      </c>
      <c r="B428" s="2">
        <v>46226</v>
      </c>
      <c r="C428" s="2" t="str">
        <f t="shared" si="26"/>
        <v>July</v>
      </c>
      <c r="D428" t="s">
        <v>109</v>
      </c>
      <c r="E428" t="s">
        <v>35</v>
      </c>
      <c r="F428" t="s">
        <v>48</v>
      </c>
      <c r="G428" t="s">
        <v>15</v>
      </c>
      <c r="H428">
        <v>3</v>
      </c>
      <c r="I428" s="3">
        <v>95.36</v>
      </c>
      <c r="J428" s="4">
        <v>0</v>
      </c>
      <c r="K428" t="s">
        <v>16</v>
      </c>
      <c r="L428" t="s">
        <v>17</v>
      </c>
      <c r="M428">
        <f t="shared" si="27"/>
        <v>286.08</v>
      </c>
    </row>
    <row r="429" spans="1:13" x14ac:dyDescent="0.2">
      <c r="A429" t="s">
        <v>577</v>
      </c>
      <c r="B429" s="2">
        <v>46226</v>
      </c>
      <c r="C429" s="2" t="str">
        <f t="shared" si="26"/>
        <v>July</v>
      </c>
      <c r="D429" t="s">
        <v>263</v>
      </c>
      <c r="E429" t="s">
        <v>93</v>
      </c>
      <c r="F429" t="s">
        <v>38</v>
      </c>
      <c r="G429" t="s">
        <v>15</v>
      </c>
      <c r="H429">
        <v>2</v>
      </c>
      <c r="I429" s="3">
        <v>29.31</v>
      </c>
      <c r="J429" s="4">
        <v>0.05</v>
      </c>
      <c r="K429" t="s">
        <v>27</v>
      </c>
      <c r="L429" t="s">
        <v>17</v>
      </c>
      <c r="M429">
        <f t="shared" si="27"/>
        <v>55.688999999999993</v>
      </c>
    </row>
    <row r="430" spans="1:13" x14ac:dyDescent="0.2">
      <c r="A430" t="s">
        <v>578</v>
      </c>
      <c r="B430" s="2">
        <v>46226</v>
      </c>
      <c r="C430" s="2" t="str">
        <f t="shared" si="26"/>
        <v>July</v>
      </c>
      <c r="D430" t="s">
        <v>333</v>
      </c>
      <c r="E430" t="s">
        <v>35</v>
      </c>
      <c r="F430" t="s">
        <v>14</v>
      </c>
      <c r="G430" t="s">
        <v>15</v>
      </c>
      <c r="H430">
        <v>4</v>
      </c>
      <c r="I430" s="3">
        <v>61.04</v>
      </c>
      <c r="J430" s="4">
        <v>0.1</v>
      </c>
      <c r="K430" t="s">
        <v>23</v>
      </c>
      <c r="L430" t="s">
        <v>74</v>
      </c>
      <c r="M430">
        <f t="shared" si="27"/>
        <v>219.744</v>
      </c>
    </row>
    <row r="431" spans="1:13" x14ac:dyDescent="0.2">
      <c r="A431" t="s">
        <v>579</v>
      </c>
      <c r="B431" s="2">
        <v>46226</v>
      </c>
      <c r="C431" s="2" t="str">
        <f t="shared" si="26"/>
        <v>July</v>
      </c>
      <c r="D431" t="s">
        <v>113</v>
      </c>
      <c r="E431" t="s">
        <v>26</v>
      </c>
      <c r="F431" t="s">
        <v>21</v>
      </c>
      <c r="G431" t="s">
        <v>22</v>
      </c>
      <c r="H431">
        <v>1</v>
      </c>
      <c r="I431" s="3">
        <v>75.63</v>
      </c>
      <c r="J431" s="4">
        <v>0.1</v>
      </c>
      <c r="K431" t="s">
        <v>44</v>
      </c>
      <c r="L431" t="s">
        <v>64</v>
      </c>
      <c r="M431">
        <f t="shared" si="27"/>
        <v>68.066999999999993</v>
      </c>
    </row>
    <row r="432" spans="1:13" x14ac:dyDescent="0.2">
      <c r="A432" t="s">
        <v>580</v>
      </c>
      <c r="B432" s="2">
        <v>46227</v>
      </c>
      <c r="C432" s="2" t="str">
        <f t="shared" si="26"/>
        <v>July</v>
      </c>
      <c r="D432" t="s">
        <v>315</v>
      </c>
      <c r="E432" t="s">
        <v>51</v>
      </c>
      <c r="F432" t="s">
        <v>73</v>
      </c>
      <c r="G432" t="s">
        <v>43</v>
      </c>
      <c r="H432">
        <v>2</v>
      </c>
      <c r="I432" s="3">
        <v>232.04</v>
      </c>
      <c r="J432" s="4">
        <v>0.15</v>
      </c>
      <c r="K432" t="s">
        <v>27</v>
      </c>
      <c r="L432" t="s">
        <v>32</v>
      </c>
      <c r="M432">
        <f t="shared" si="27"/>
        <v>394.46799999999996</v>
      </c>
    </row>
    <row r="433" spans="1:13" x14ac:dyDescent="0.2">
      <c r="A433" t="s">
        <v>581</v>
      </c>
      <c r="B433" s="2">
        <v>46227</v>
      </c>
      <c r="C433" s="2" t="str">
        <f t="shared" si="26"/>
        <v>July</v>
      </c>
      <c r="D433" t="s">
        <v>92</v>
      </c>
      <c r="E433" t="s">
        <v>20</v>
      </c>
      <c r="F433" t="s">
        <v>14</v>
      </c>
      <c r="G433" t="s">
        <v>15</v>
      </c>
      <c r="H433">
        <v>1</v>
      </c>
      <c r="I433" s="3">
        <v>59.52</v>
      </c>
      <c r="J433" s="4">
        <v>0.1</v>
      </c>
      <c r="K433" t="s">
        <v>27</v>
      </c>
      <c r="L433" t="s">
        <v>74</v>
      </c>
      <c r="M433">
        <f t="shared" si="27"/>
        <v>53.568000000000005</v>
      </c>
    </row>
    <row r="434" spans="1:13" x14ac:dyDescent="0.2">
      <c r="A434" t="s">
        <v>582</v>
      </c>
      <c r="B434" s="2">
        <v>46228</v>
      </c>
      <c r="C434" s="2" t="str">
        <f t="shared" si="26"/>
        <v>July</v>
      </c>
      <c r="D434" t="s">
        <v>235</v>
      </c>
      <c r="E434" t="s">
        <v>93</v>
      </c>
      <c r="F434" t="s">
        <v>85</v>
      </c>
      <c r="G434" t="s">
        <v>22</v>
      </c>
      <c r="H434">
        <v>3</v>
      </c>
      <c r="I434" s="3">
        <v>498.52</v>
      </c>
      <c r="J434" s="4">
        <v>0.1</v>
      </c>
      <c r="K434" t="s">
        <v>55</v>
      </c>
      <c r="L434" t="s">
        <v>52</v>
      </c>
      <c r="M434">
        <f t="shared" si="27"/>
        <v>1346.0039999999999</v>
      </c>
    </row>
    <row r="435" spans="1:13" x14ac:dyDescent="0.2">
      <c r="A435" t="s">
        <v>583</v>
      </c>
      <c r="B435" s="2">
        <v>46228</v>
      </c>
      <c r="C435" s="2" t="str">
        <f t="shared" si="26"/>
        <v>July</v>
      </c>
      <c r="D435" t="s">
        <v>322</v>
      </c>
      <c r="E435" t="s">
        <v>31</v>
      </c>
      <c r="F435" t="s">
        <v>48</v>
      </c>
      <c r="G435" t="s">
        <v>15</v>
      </c>
      <c r="H435">
        <v>5</v>
      </c>
      <c r="I435" s="3">
        <v>94.79</v>
      </c>
      <c r="J435" s="4">
        <v>0.1</v>
      </c>
      <c r="K435" t="s">
        <v>23</v>
      </c>
      <c r="L435" t="s">
        <v>74</v>
      </c>
      <c r="M435">
        <f t="shared" si="27"/>
        <v>426.55500000000006</v>
      </c>
    </row>
    <row r="436" spans="1:13" x14ac:dyDescent="0.2">
      <c r="A436" t="s">
        <v>584</v>
      </c>
      <c r="B436" s="2">
        <v>46228</v>
      </c>
      <c r="C436" s="2" t="str">
        <f t="shared" si="26"/>
        <v>July</v>
      </c>
      <c r="D436" t="s">
        <v>40</v>
      </c>
      <c r="E436" t="s">
        <v>59</v>
      </c>
      <c r="F436" t="s">
        <v>77</v>
      </c>
      <c r="G436" t="s">
        <v>22</v>
      </c>
      <c r="H436">
        <v>1</v>
      </c>
      <c r="I436" s="3">
        <v>356.03</v>
      </c>
      <c r="J436" s="4">
        <v>0.05</v>
      </c>
      <c r="K436" t="s">
        <v>44</v>
      </c>
      <c r="L436" t="s">
        <v>28</v>
      </c>
      <c r="M436">
        <f t="shared" si="27"/>
        <v>338.22849999999994</v>
      </c>
    </row>
    <row r="437" spans="1:13" x14ac:dyDescent="0.2">
      <c r="A437" t="s">
        <v>585</v>
      </c>
      <c r="B437" s="2">
        <v>46229</v>
      </c>
      <c r="C437" s="2" t="str">
        <f t="shared" si="26"/>
        <v>July</v>
      </c>
      <c r="D437" t="s">
        <v>225</v>
      </c>
      <c r="E437" t="s">
        <v>26</v>
      </c>
      <c r="F437" t="s">
        <v>85</v>
      </c>
      <c r="G437" t="s">
        <v>22</v>
      </c>
      <c r="H437">
        <v>1</v>
      </c>
      <c r="I437" s="3">
        <v>470.54</v>
      </c>
      <c r="J437" s="4">
        <v>0</v>
      </c>
      <c r="K437" t="s">
        <v>23</v>
      </c>
      <c r="L437" t="s">
        <v>70</v>
      </c>
      <c r="M437">
        <f t="shared" si="27"/>
        <v>470.54</v>
      </c>
    </row>
    <row r="438" spans="1:13" x14ac:dyDescent="0.2">
      <c r="A438" t="s">
        <v>586</v>
      </c>
      <c r="B438" s="2">
        <v>46229</v>
      </c>
      <c r="C438" s="2" t="str">
        <f t="shared" si="26"/>
        <v>July</v>
      </c>
      <c r="D438" t="s">
        <v>105</v>
      </c>
      <c r="E438" t="s">
        <v>13</v>
      </c>
      <c r="F438" t="s">
        <v>42</v>
      </c>
      <c r="G438" t="s">
        <v>43</v>
      </c>
      <c r="H438">
        <v>3</v>
      </c>
      <c r="I438" s="3">
        <v>261.38</v>
      </c>
      <c r="J438" s="4">
        <v>0</v>
      </c>
      <c r="K438" t="s">
        <v>16</v>
      </c>
      <c r="L438" t="s">
        <v>28</v>
      </c>
      <c r="M438">
        <f t="shared" si="27"/>
        <v>784.14</v>
      </c>
    </row>
    <row r="439" spans="1:13" x14ac:dyDescent="0.2">
      <c r="A439" t="s">
        <v>587</v>
      </c>
      <c r="B439" s="2">
        <v>46229</v>
      </c>
      <c r="C439" s="2" t="str">
        <f t="shared" si="26"/>
        <v>July</v>
      </c>
      <c r="D439" t="s">
        <v>155</v>
      </c>
      <c r="E439" t="s">
        <v>35</v>
      </c>
      <c r="F439" t="s">
        <v>14</v>
      </c>
      <c r="G439" t="s">
        <v>15</v>
      </c>
      <c r="H439">
        <v>3</v>
      </c>
      <c r="I439" s="3">
        <v>61.55</v>
      </c>
      <c r="J439" s="4">
        <v>0</v>
      </c>
      <c r="K439" t="s">
        <v>55</v>
      </c>
      <c r="L439" t="s">
        <v>64</v>
      </c>
      <c r="M439">
        <f t="shared" si="27"/>
        <v>184.64999999999998</v>
      </c>
    </row>
    <row r="440" spans="1:13" x14ac:dyDescent="0.2">
      <c r="A440" t="s">
        <v>588</v>
      </c>
      <c r="B440" s="2">
        <v>46230</v>
      </c>
      <c r="C440" s="2" t="str">
        <f t="shared" si="26"/>
        <v>July</v>
      </c>
      <c r="D440" t="s">
        <v>204</v>
      </c>
      <c r="E440" t="s">
        <v>90</v>
      </c>
      <c r="F440" t="s">
        <v>85</v>
      </c>
      <c r="G440" t="s">
        <v>22</v>
      </c>
      <c r="H440">
        <v>1</v>
      </c>
      <c r="I440" s="3">
        <v>476.07</v>
      </c>
      <c r="J440" s="4">
        <v>0.05</v>
      </c>
      <c r="K440" t="s">
        <v>27</v>
      </c>
      <c r="L440" t="s">
        <v>70</v>
      </c>
      <c r="M440">
        <f t="shared" si="27"/>
        <v>452.26649999999995</v>
      </c>
    </row>
    <row r="441" spans="1:13" x14ac:dyDescent="0.2">
      <c r="A441" t="s">
        <v>589</v>
      </c>
      <c r="B441" s="2">
        <v>46230</v>
      </c>
      <c r="C441" s="2" t="str">
        <f t="shared" si="26"/>
        <v>July</v>
      </c>
      <c r="D441" t="s">
        <v>491</v>
      </c>
      <c r="E441" t="s">
        <v>51</v>
      </c>
      <c r="F441" t="s">
        <v>42</v>
      </c>
      <c r="G441" t="s">
        <v>43</v>
      </c>
      <c r="H441">
        <v>4</v>
      </c>
      <c r="I441" s="3">
        <v>271.01</v>
      </c>
      <c r="J441" s="4">
        <v>0</v>
      </c>
      <c r="K441" t="s">
        <v>27</v>
      </c>
      <c r="L441" t="s">
        <v>17</v>
      </c>
      <c r="M441">
        <f t="shared" si="27"/>
        <v>1084.04</v>
      </c>
    </row>
    <row r="442" spans="1:13" x14ac:dyDescent="0.2">
      <c r="A442" t="s">
        <v>590</v>
      </c>
      <c r="B442" s="2">
        <v>46231</v>
      </c>
      <c r="C442" s="2" t="str">
        <f t="shared" si="26"/>
        <v>July</v>
      </c>
      <c r="D442" t="s">
        <v>116</v>
      </c>
      <c r="E442" t="s">
        <v>62</v>
      </c>
      <c r="F442" t="s">
        <v>77</v>
      </c>
      <c r="G442" t="s">
        <v>22</v>
      </c>
      <c r="H442">
        <v>1</v>
      </c>
      <c r="I442" s="3">
        <v>359.48</v>
      </c>
      <c r="J442" s="4">
        <v>0.15</v>
      </c>
      <c r="K442" t="s">
        <v>27</v>
      </c>
      <c r="L442" t="s">
        <v>17</v>
      </c>
      <c r="M442">
        <f t="shared" si="27"/>
        <v>305.55799999999999</v>
      </c>
    </row>
    <row r="443" spans="1:13" x14ac:dyDescent="0.2">
      <c r="A443" t="s">
        <v>591</v>
      </c>
      <c r="B443" s="2">
        <v>46231</v>
      </c>
      <c r="C443" s="2" t="str">
        <f t="shared" si="26"/>
        <v>July</v>
      </c>
      <c r="D443" t="s">
        <v>66</v>
      </c>
      <c r="E443" t="s">
        <v>41</v>
      </c>
      <c r="F443" t="s">
        <v>38</v>
      </c>
      <c r="G443" t="s">
        <v>15</v>
      </c>
      <c r="H443">
        <v>4</v>
      </c>
      <c r="I443" s="3">
        <v>28.88</v>
      </c>
      <c r="J443" s="4">
        <v>0.05</v>
      </c>
      <c r="K443" t="s">
        <v>55</v>
      </c>
      <c r="L443" t="s">
        <v>32</v>
      </c>
      <c r="M443">
        <f t="shared" si="27"/>
        <v>109.74399999999999</v>
      </c>
    </row>
    <row r="444" spans="1:13" x14ac:dyDescent="0.2">
      <c r="A444" t="s">
        <v>592</v>
      </c>
      <c r="B444" s="2">
        <v>46231</v>
      </c>
      <c r="C444" s="2" t="str">
        <f t="shared" si="26"/>
        <v>July</v>
      </c>
      <c r="D444" t="s">
        <v>325</v>
      </c>
      <c r="E444" t="s">
        <v>80</v>
      </c>
      <c r="F444" t="s">
        <v>21</v>
      </c>
      <c r="G444" t="s">
        <v>22</v>
      </c>
      <c r="H444">
        <v>2</v>
      </c>
      <c r="I444" s="3">
        <v>77.09</v>
      </c>
      <c r="J444" s="4">
        <v>0.15</v>
      </c>
      <c r="K444" t="s">
        <v>23</v>
      </c>
      <c r="L444" t="s">
        <v>32</v>
      </c>
      <c r="M444">
        <f t="shared" si="27"/>
        <v>131.053</v>
      </c>
    </row>
    <row r="445" spans="1:13" x14ac:dyDescent="0.2">
      <c r="A445" t="s">
        <v>593</v>
      </c>
      <c r="B445" s="2">
        <v>46231</v>
      </c>
      <c r="C445" s="2" t="str">
        <f t="shared" si="26"/>
        <v>July</v>
      </c>
      <c r="D445" t="s">
        <v>491</v>
      </c>
      <c r="E445" t="s">
        <v>59</v>
      </c>
      <c r="F445" t="s">
        <v>48</v>
      </c>
      <c r="G445" t="s">
        <v>15</v>
      </c>
      <c r="H445">
        <v>1</v>
      </c>
      <c r="I445" s="3">
        <v>92.55</v>
      </c>
      <c r="J445" s="4">
        <v>0.1</v>
      </c>
      <c r="K445" t="s">
        <v>44</v>
      </c>
      <c r="L445" t="s">
        <v>28</v>
      </c>
      <c r="M445">
        <f t="shared" si="27"/>
        <v>83.295000000000002</v>
      </c>
    </row>
    <row r="446" spans="1:13" x14ac:dyDescent="0.2">
      <c r="A446" t="s">
        <v>594</v>
      </c>
      <c r="B446" s="2">
        <v>46232</v>
      </c>
      <c r="C446" s="2" t="str">
        <f t="shared" si="26"/>
        <v>July</v>
      </c>
      <c r="D446" t="s">
        <v>469</v>
      </c>
      <c r="E446" t="s">
        <v>67</v>
      </c>
      <c r="F446" t="s">
        <v>48</v>
      </c>
      <c r="G446" t="s">
        <v>15</v>
      </c>
      <c r="H446">
        <v>5</v>
      </c>
      <c r="I446" s="3">
        <v>96.37</v>
      </c>
      <c r="J446" s="4">
        <v>0</v>
      </c>
      <c r="K446" t="s">
        <v>44</v>
      </c>
      <c r="L446" t="s">
        <v>28</v>
      </c>
      <c r="M446">
        <f t="shared" si="27"/>
        <v>481.85</v>
      </c>
    </row>
    <row r="447" spans="1:13" x14ac:dyDescent="0.2">
      <c r="A447" t="s">
        <v>595</v>
      </c>
      <c r="B447" s="2">
        <v>46232</v>
      </c>
      <c r="C447" s="2" t="str">
        <f t="shared" si="26"/>
        <v>July</v>
      </c>
      <c r="D447" t="s">
        <v>294</v>
      </c>
      <c r="E447" t="s">
        <v>26</v>
      </c>
      <c r="F447" t="s">
        <v>63</v>
      </c>
      <c r="G447" t="s">
        <v>22</v>
      </c>
      <c r="H447">
        <v>2</v>
      </c>
      <c r="I447" s="3">
        <v>1234.0899999999999</v>
      </c>
      <c r="J447" s="4">
        <v>0.05</v>
      </c>
      <c r="K447" t="s">
        <v>16</v>
      </c>
      <c r="L447" t="s">
        <v>52</v>
      </c>
      <c r="M447">
        <f t="shared" si="27"/>
        <v>2344.7709999999997</v>
      </c>
    </row>
    <row r="448" spans="1:13" x14ac:dyDescent="0.2">
      <c r="A448" t="s">
        <v>596</v>
      </c>
      <c r="B448" s="2">
        <v>46234</v>
      </c>
      <c r="C448" s="2" t="str">
        <f t="shared" si="26"/>
        <v>July</v>
      </c>
      <c r="D448" t="s">
        <v>209</v>
      </c>
      <c r="E448" t="s">
        <v>13</v>
      </c>
      <c r="F448" t="s">
        <v>21</v>
      </c>
      <c r="G448" t="s">
        <v>22</v>
      </c>
      <c r="H448">
        <v>1</v>
      </c>
      <c r="I448" s="3">
        <v>74.540000000000006</v>
      </c>
      <c r="J448" s="4">
        <v>0</v>
      </c>
      <c r="K448" t="s">
        <v>23</v>
      </c>
      <c r="L448" t="s">
        <v>17</v>
      </c>
      <c r="M448">
        <f t="shared" si="27"/>
        <v>74.540000000000006</v>
      </c>
    </row>
    <row r="449" spans="1:13" x14ac:dyDescent="0.2">
      <c r="A449" t="s">
        <v>597</v>
      </c>
      <c r="B449" s="2">
        <v>46234</v>
      </c>
      <c r="C449" s="2" t="str">
        <f t="shared" si="26"/>
        <v>July</v>
      </c>
      <c r="D449" t="s">
        <v>219</v>
      </c>
      <c r="E449" t="s">
        <v>13</v>
      </c>
      <c r="F449" t="s">
        <v>85</v>
      </c>
      <c r="G449" t="s">
        <v>22</v>
      </c>
      <c r="H449">
        <v>1</v>
      </c>
      <c r="I449" s="3">
        <v>489.74</v>
      </c>
      <c r="J449" s="4">
        <v>0.1</v>
      </c>
      <c r="K449" t="s">
        <v>44</v>
      </c>
      <c r="L449" t="s">
        <v>32</v>
      </c>
      <c r="M449">
        <f t="shared" si="27"/>
        <v>440.76600000000002</v>
      </c>
    </row>
    <row r="450" spans="1:13" x14ac:dyDescent="0.2">
      <c r="A450" t="s">
        <v>598</v>
      </c>
      <c r="B450" s="2">
        <v>46235</v>
      </c>
      <c r="C450" s="2" t="str">
        <f t="shared" si="26"/>
        <v>August</v>
      </c>
      <c r="D450" t="s">
        <v>493</v>
      </c>
      <c r="E450" t="s">
        <v>31</v>
      </c>
      <c r="F450" t="s">
        <v>38</v>
      </c>
      <c r="G450" t="s">
        <v>15</v>
      </c>
      <c r="H450">
        <v>2</v>
      </c>
      <c r="I450" s="3">
        <v>31.81</v>
      </c>
      <c r="J450" s="4">
        <v>0.15</v>
      </c>
      <c r="K450" t="s">
        <v>44</v>
      </c>
      <c r="L450" t="s">
        <v>74</v>
      </c>
      <c r="M450">
        <f t="shared" si="27"/>
        <v>54.076999999999998</v>
      </c>
    </row>
    <row r="451" spans="1:13" x14ac:dyDescent="0.2">
      <c r="A451" t="s">
        <v>599</v>
      </c>
      <c r="B451" s="2">
        <v>46236</v>
      </c>
      <c r="C451" s="2" t="str">
        <f t="shared" ref="C451:C501" si="28">TEXT(B451,"mmmm")</f>
        <v>August</v>
      </c>
      <c r="D451" t="s">
        <v>133</v>
      </c>
      <c r="E451" t="s">
        <v>80</v>
      </c>
      <c r="F451" t="s">
        <v>38</v>
      </c>
      <c r="G451" t="s">
        <v>15</v>
      </c>
      <c r="H451">
        <v>3</v>
      </c>
      <c r="I451" s="3">
        <v>30.18</v>
      </c>
      <c r="J451" s="4">
        <v>0.1</v>
      </c>
      <c r="K451" t="s">
        <v>23</v>
      </c>
      <c r="L451" t="s">
        <v>56</v>
      </c>
      <c r="M451">
        <f t="shared" ref="M451:M501" si="29">I451*H451*(1-J451)</f>
        <v>81.48599999999999</v>
      </c>
    </row>
    <row r="452" spans="1:13" x14ac:dyDescent="0.2">
      <c r="A452" t="s">
        <v>600</v>
      </c>
      <c r="B452" s="2">
        <v>46236</v>
      </c>
      <c r="C452" s="2" t="str">
        <f t="shared" si="28"/>
        <v>August</v>
      </c>
      <c r="D452" t="s">
        <v>143</v>
      </c>
      <c r="E452" t="s">
        <v>26</v>
      </c>
      <c r="F452" t="s">
        <v>14</v>
      </c>
      <c r="G452" t="s">
        <v>15</v>
      </c>
      <c r="H452">
        <v>2</v>
      </c>
      <c r="I452" s="3">
        <v>58.4</v>
      </c>
      <c r="J452" s="4">
        <v>0</v>
      </c>
      <c r="K452" t="s">
        <v>23</v>
      </c>
      <c r="L452" t="s">
        <v>28</v>
      </c>
      <c r="M452">
        <f t="shared" si="29"/>
        <v>116.8</v>
      </c>
    </row>
    <row r="453" spans="1:13" x14ac:dyDescent="0.2">
      <c r="A453" t="s">
        <v>601</v>
      </c>
      <c r="B453" s="2">
        <v>46237</v>
      </c>
      <c r="C453" s="2" t="str">
        <f t="shared" si="28"/>
        <v>August</v>
      </c>
      <c r="D453" t="s">
        <v>118</v>
      </c>
      <c r="E453" t="s">
        <v>35</v>
      </c>
      <c r="F453" t="s">
        <v>114</v>
      </c>
      <c r="G453" t="s">
        <v>43</v>
      </c>
      <c r="H453">
        <v>2</v>
      </c>
      <c r="I453" s="3">
        <v>176.54</v>
      </c>
      <c r="J453" s="4">
        <v>0</v>
      </c>
      <c r="K453" t="s">
        <v>16</v>
      </c>
      <c r="L453" t="s">
        <v>74</v>
      </c>
      <c r="M453">
        <f t="shared" si="29"/>
        <v>353.08</v>
      </c>
    </row>
    <row r="454" spans="1:13" x14ac:dyDescent="0.2">
      <c r="A454" t="s">
        <v>602</v>
      </c>
      <c r="B454" s="2">
        <v>46238</v>
      </c>
      <c r="C454" s="2" t="str">
        <f t="shared" si="28"/>
        <v>August</v>
      </c>
      <c r="D454" t="s">
        <v>143</v>
      </c>
      <c r="E454" t="s">
        <v>51</v>
      </c>
      <c r="F454" t="s">
        <v>77</v>
      </c>
      <c r="G454" t="s">
        <v>22</v>
      </c>
      <c r="H454">
        <v>6</v>
      </c>
      <c r="I454" s="3">
        <v>336.46</v>
      </c>
      <c r="J454" s="4">
        <v>0.05</v>
      </c>
      <c r="K454" t="s">
        <v>16</v>
      </c>
      <c r="L454" t="s">
        <v>64</v>
      </c>
      <c r="M454">
        <f t="shared" si="29"/>
        <v>1917.8219999999997</v>
      </c>
    </row>
    <row r="455" spans="1:13" x14ac:dyDescent="0.2">
      <c r="A455" t="s">
        <v>603</v>
      </c>
      <c r="B455" s="2">
        <v>46238</v>
      </c>
      <c r="C455" s="2" t="str">
        <f t="shared" si="28"/>
        <v>August</v>
      </c>
      <c r="D455" t="s">
        <v>103</v>
      </c>
      <c r="E455" t="s">
        <v>26</v>
      </c>
      <c r="F455" t="s">
        <v>14</v>
      </c>
      <c r="G455" t="s">
        <v>15</v>
      </c>
      <c r="H455">
        <v>4</v>
      </c>
      <c r="I455" s="3">
        <v>57.72</v>
      </c>
      <c r="J455" s="4">
        <v>0.2</v>
      </c>
      <c r="K455" t="s">
        <v>27</v>
      </c>
      <c r="L455" t="s">
        <v>56</v>
      </c>
      <c r="M455">
        <f t="shared" si="29"/>
        <v>184.70400000000001</v>
      </c>
    </row>
    <row r="456" spans="1:13" x14ac:dyDescent="0.2">
      <c r="A456" t="s">
        <v>604</v>
      </c>
      <c r="B456" s="2">
        <v>46240</v>
      </c>
      <c r="C456" s="2" t="str">
        <f t="shared" si="28"/>
        <v>August</v>
      </c>
      <c r="D456" t="s">
        <v>227</v>
      </c>
      <c r="E456" t="s">
        <v>62</v>
      </c>
      <c r="F456" t="s">
        <v>21</v>
      </c>
      <c r="G456" t="s">
        <v>22</v>
      </c>
      <c r="H456">
        <v>1</v>
      </c>
      <c r="I456" s="3">
        <v>70.739999999999995</v>
      </c>
      <c r="J456" s="4">
        <v>0.05</v>
      </c>
      <c r="K456" t="s">
        <v>55</v>
      </c>
      <c r="L456" t="s">
        <v>64</v>
      </c>
      <c r="M456">
        <f t="shared" si="29"/>
        <v>67.202999999999989</v>
      </c>
    </row>
    <row r="457" spans="1:13" x14ac:dyDescent="0.2">
      <c r="A457" t="s">
        <v>605</v>
      </c>
      <c r="B457" s="2">
        <v>46242</v>
      </c>
      <c r="C457" s="2" t="str">
        <f t="shared" si="28"/>
        <v>August</v>
      </c>
      <c r="D457" t="s">
        <v>25</v>
      </c>
      <c r="E457" t="s">
        <v>51</v>
      </c>
      <c r="F457" t="s">
        <v>14</v>
      </c>
      <c r="G457" t="s">
        <v>15</v>
      </c>
      <c r="H457">
        <v>4</v>
      </c>
      <c r="I457" s="3">
        <v>55.82</v>
      </c>
      <c r="J457" s="4">
        <v>0.05</v>
      </c>
      <c r="K457" t="s">
        <v>27</v>
      </c>
      <c r="L457" t="s">
        <v>74</v>
      </c>
      <c r="M457">
        <f t="shared" si="29"/>
        <v>212.11599999999999</v>
      </c>
    </row>
    <row r="458" spans="1:13" x14ac:dyDescent="0.2">
      <c r="A458" t="s">
        <v>606</v>
      </c>
      <c r="B458" s="2">
        <v>46243</v>
      </c>
      <c r="C458" s="2" t="str">
        <f t="shared" si="28"/>
        <v>August</v>
      </c>
      <c r="D458" t="s">
        <v>124</v>
      </c>
      <c r="E458" t="s">
        <v>59</v>
      </c>
      <c r="F458" t="s">
        <v>114</v>
      </c>
      <c r="G458" t="s">
        <v>43</v>
      </c>
      <c r="H458">
        <v>4</v>
      </c>
      <c r="I458" s="3">
        <v>175.95</v>
      </c>
      <c r="J458" s="4">
        <v>0.1</v>
      </c>
      <c r="K458" t="s">
        <v>23</v>
      </c>
      <c r="L458" t="s">
        <v>32</v>
      </c>
      <c r="M458">
        <f t="shared" si="29"/>
        <v>633.41999999999996</v>
      </c>
    </row>
    <row r="459" spans="1:13" x14ac:dyDescent="0.2">
      <c r="A459" t="s">
        <v>607</v>
      </c>
      <c r="B459" s="2">
        <v>46243</v>
      </c>
      <c r="C459" s="2" t="str">
        <f t="shared" si="28"/>
        <v>August</v>
      </c>
      <c r="D459" t="s">
        <v>225</v>
      </c>
      <c r="E459" t="s">
        <v>35</v>
      </c>
      <c r="F459" t="s">
        <v>73</v>
      </c>
      <c r="G459" t="s">
        <v>43</v>
      </c>
      <c r="H459">
        <v>1</v>
      </c>
      <c r="I459" s="3">
        <v>210.17</v>
      </c>
      <c r="J459" s="4">
        <v>0</v>
      </c>
      <c r="K459" t="s">
        <v>55</v>
      </c>
      <c r="L459" t="s">
        <v>28</v>
      </c>
      <c r="M459">
        <f t="shared" si="29"/>
        <v>210.17</v>
      </c>
    </row>
    <row r="460" spans="1:13" x14ac:dyDescent="0.2">
      <c r="A460" t="s">
        <v>608</v>
      </c>
      <c r="B460" s="2">
        <v>46243</v>
      </c>
      <c r="C460" s="2" t="str">
        <f t="shared" si="28"/>
        <v>August</v>
      </c>
      <c r="D460" t="s">
        <v>204</v>
      </c>
      <c r="E460" t="s">
        <v>93</v>
      </c>
      <c r="F460" t="s">
        <v>73</v>
      </c>
      <c r="G460" t="s">
        <v>43</v>
      </c>
      <c r="H460">
        <v>6</v>
      </c>
      <c r="I460" s="3">
        <v>205.18</v>
      </c>
      <c r="J460" s="4">
        <v>0</v>
      </c>
      <c r="K460" t="s">
        <v>55</v>
      </c>
      <c r="L460" t="s">
        <v>32</v>
      </c>
      <c r="M460">
        <f t="shared" si="29"/>
        <v>1231.08</v>
      </c>
    </row>
    <row r="461" spans="1:13" x14ac:dyDescent="0.2">
      <c r="A461" t="s">
        <v>609</v>
      </c>
      <c r="B461" s="2">
        <v>46246</v>
      </c>
      <c r="C461" s="2" t="str">
        <f t="shared" si="28"/>
        <v>August</v>
      </c>
      <c r="D461" t="s">
        <v>493</v>
      </c>
      <c r="E461" t="s">
        <v>41</v>
      </c>
      <c r="F461" t="s">
        <v>63</v>
      </c>
      <c r="G461" t="s">
        <v>22</v>
      </c>
      <c r="H461">
        <v>2</v>
      </c>
      <c r="I461" s="3">
        <v>1250.1300000000001</v>
      </c>
      <c r="J461" s="4">
        <v>0</v>
      </c>
      <c r="K461" t="s">
        <v>16</v>
      </c>
      <c r="L461" t="s">
        <v>28</v>
      </c>
      <c r="M461">
        <f t="shared" si="29"/>
        <v>2500.2600000000002</v>
      </c>
    </row>
    <row r="462" spans="1:13" x14ac:dyDescent="0.2">
      <c r="A462" t="s">
        <v>610</v>
      </c>
      <c r="B462" s="2">
        <v>46246</v>
      </c>
      <c r="C462" s="2" t="str">
        <f t="shared" si="28"/>
        <v>August</v>
      </c>
      <c r="D462" t="s">
        <v>30</v>
      </c>
      <c r="E462" t="s">
        <v>35</v>
      </c>
      <c r="F462" t="s">
        <v>38</v>
      </c>
      <c r="G462" t="s">
        <v>15</v>
      </c>
      <c r="H462">
        <v>3</v>
      </c>
      <c r="I462" s="3">
        <v>29.28</v>
      </c>
      <c r="J462" s="4">
        <v>0.05</v>
      </c>
      <c r="K462" t="s">
        <v>27</v>
      </c>
      <c r="L462" t="s">
        <v>32</v>
      </c>
      <c r="M462">
        <f t="shared" si="29"/>
        <v>83.447999999999993</v>
      </c>
    </row>
    <row r="463" spans="1:13" x14ac:dyDescent="0.2">
      <c r="A463" t="s">
        <v>611</v>
      </c>
      <c r="B463" s="2">
        <v>46246</v>
      </c>
      <c r="C463" s="2" t="str">
        <f t="shared" si="28"/>
        <v>August</v>
      </c>
      <c r="D463" t="s">
        <v>221</v>
      </c>
      <c r="E463" t="s">
        <v>13</v>
      </c>
      <c r="F463" t="s">
        <v>73</v>
      </c>
      <c r="G463" t="s">
        <v>43</v>
      </c>
      <c r="H463">
        <v>4</v>
      </c>
      <c r="I463" s="3">
        <v>221.01</v>
      </c>
      <c r="J463" s="4">
        <v>0</v>
      </c>
      <c r="K463" t="s">
        <v>23</v>
      </c>
      <c r="L463" t="s">
        <v>28</v>
      </c>
      <c r="M463">
        <f t="shared" si="29"/>
        <v>884.04</v>
      </c>
    </row>
    <row r="464" spans="1:13" x14ac:dyDescent="0.2">
      <c r="A464" t="s">
        <v>612</v>
      </c>
      <c r="B464" s="2">
        <v>46248</v>
      </c>
      <c r="C464" s="2" t="str">
        <f t="shared" si="28"/>
        <v>August</v>
      </c>
      <c r="D464" t="s">
        <v>456</v>
      </c>
      <c r="E464" t="s">
        <v>62</v>
      </c>
      <c r="F464" t="s">
        <v>77</v>
      </c>
      <c r="G464" t="s">
        <v>22</v>
      </c>
      <c r="H464">
        <v>2</v>
      </c>
      <c r="I464" s="3">
        <v>358.17</v>
      </c>
      <c r="J464" s="4">
        <v>0</v>
      </c>
      <c r="K464" t="s">
        <v>44</v>
      </c>
      <c r="L464" t="s">
        <v>74</v>
      </c>
      <c r="M464">
        <f t="shared" si="29"/>
        <v>716.34</v>
      </c>
    </row>
    <row r="465" spans="1:13" x14ac:dyDescent="0.2">
      <c r="A465" t="s">
        <v>613</v>
      </c>
      <c r="B465" s="2">
        <v>46248</v>
      </c>
      <c r="C465" s="2" t="str">
        <f t="shared" si="28"/>
        <v>August</v>
      </c>
      <c r="D465" t="s">
        <v>97</v>
      </c>
      <c r="E465" t="s">
        <v>41</v>
      </c>
      <c r="F465" t="s">
        <v>73</v>
      </c>
      <c r="G465" t="s">
        <v>43</v>
      </c>
      <c r="H465">
        <v>1</v>
      </c>
      <c r="I465" s="3">
        <v>223.41</v>
      </c>
      <c r="J465" s="4">
        <v>0.05</v>
      </c>
      <c r="K465" t="s">
        <v>23</v>
      </c>
      <c r="L465" t="s">
        <v>74</v>
      </c>
      <c r="M465">
        <f t="shared" si="29"/>
        <v>212.23949999999999</v>
      </c>
    </row>
    <row r="466" spans="1:13" x14ac:dyDescent="0.2">
      <c r="A466" t="s">
        <v>614</v>
      </c>
      <c r="B466" s="2">
        <v>46248</v>
      </c>
      <c r="C466" s="2" t="str">
        <f t="shared" si="28"/>
        <v>August</v>
      </c>
      <c r="D466" t="s">
        <v>469</v>
      </c>
      <c r="E466" t="s">
        <v>20</v>
      </c>
      <c r="F466" t="s">
        <v>48</v>
      </c>
      <c r="G466" t="s">
        <v>15</v>
      </c>
      <c r="H466">
        <v>3</v>
      </c>
      <c r="I466" s="3">
        <v>88.26</v>
      </c>
      <c r="J466" s="4">
        <v>0.1</v>
      </c>
      <c r="K466" t="s">
        <v>16</v>
      </c>
      <c r="L466" t="s">
        <v>70</v>
      </c>
      <c r="M466">
        <f t="shared" si="29"/>
        <v>238.30200000000002</v>
      </c>
    </row>
    <row r="467" spans="1:13" x14ac:dyDescent="0.2">
      <c r="A467" t="s">
        <v>615</v>
      </c>
      <c r="B467" s="2">
        <v>46249</v>
      </c>
      <c r="C467" s="2" t="str">
        <f t="shared" si="28"/>
        <v>August</v>
      </c>
      <c r="D467" t="s">
        <v>101</v>
      </c>
      <c r="E467" t="s">
        <v>47</v>
      </c>
      <c r="F467" t="s">
        <v>21</v>
      </c>
      <c r="G467" t="s">
        <v>22</v>
      </c>
      <c r="H467">
        <v>8</v>
      </c>
      <c r="I467" s="3">
        <v>77.03</v>
      </c>
      <c r="J467" s="4">
        <v>0.1</v>
      </c>
      <c r="K467" t="s">
        <v>27</v>
      </c>
      <c r="L467" t="s">
        <v>74</v>
      </c>
      <c r="M467">
        <f t="shared" si="29"/>
        <v>554.61599999999999</v>
      </c>
    </row>
    <row r="468" spans="1:13" x14ac:dyDescent="0.2">
      <c r="A468" t="s">
        <v>616</v>
      </c>
      <c r="B468" s="2">
        <v>46249</v>
      </c>
      <c r="C468" s="2" t="str">
        <f t="shared" si="28"/>
        <v>August</v>
      </c>
      <c r="D468" t="s">
        <v>225</v>
      </c>
      <c r="E468" t="s">
        <v>80</v>
      </c>
      <c r="F468" t="s">
        <v>21</v>
      </c>
      <c r="G468" t="s">
        <v>22</v>
      </c>
      <c r="H468">
        <v>10</v>
      </c>
      <c r="I468" s="3">
        <v>78</v>
      </c>
      <c r="J468" s="4">
        <v>0.15</v>
      </c>
      <c r="K468" t="s">
        <v>55</v>
      </c>
      <c r="L468" t="s">
        <v>70</v>
      </c>
      <c r="M468">
        <f t="shared" si="29"/>
        <v>663</v>
      </c>
    </row>
    <row r="469" spans="1:13" x14ac:dyDescent="0.2">
      <c r="A469" t="s">
        <v>617</v>
      </c>
      <c r="B469" s="2">
        <v>46249</v>
      </c>
      <c r="C469" s="2" t="str">
        <f t="shared" si="28"/>
        <v>August</v>
      </c>
      <c r="D469" t="s">
        <v>116</v>
      </c>
      <c r="E469" t="s">
        <v>93</v>
      </c>
      <c r="F469" t="s">
        <v>73</v>
      </c>
      <c r="G469" t="s">
        <v>43</v>
      </c>
      <c r="H469">
        <v>2</v>
      </c>
      <c r="I469" s="3">
        <v>208.31</v>
      </c>
      <c r="J469" s="4">
        <v>0.05</v>
      </c>
      <c r="K469" t="s">
        <v>16</v>
      </c>
      <c r="L469" t="s">
        <v>56</v>
      </c>
      <c r="M469">
        <f t="shared" si="29"/>
        <v>395.78899999999999</v>
      </c>
    </row>
    <row r="470" spans="1:13" x14ac:dyDescent="0.2">
      <c r="A470" t="s">
        <v>618</v>
      </c>
      <c r="B470" s="2">
        <v>46249</v>
      </c>
      <c r="C470" s="2" t="str">
        <f t="shared" si="28"/>
        <v>August</v>
      </c>
      <c r="D470" t="s">
        <v>247</v>
      </c>
      <c r="E470" t="s">
        <v>26</v>
      </c>
      <c r="F470" t="s">
        <v>38</v>
      </c>
      <c r="G470" t="s">
        <v>15</v>
      </c>
      <c r="H470">
        <v>1</v>
      </c>
      <c r="I470" s="3">
        <v>29.76</v>
      </c>
      <c r="J470" s="4">
        <v>0.15</v>
      </c>
      <c r="K470" t="s">
        <v>55</v>
      </c>
      <c r="L470" t="s">
        <v>28</v>
      </c>
      <c r="M470">
        <f t="shared" si="29"/>
        <v>25.295999999999999</v>
      </c>
    </row>
    <row r="471" spans="1:13" x14ac:dyDescent="0.2">
      <c r="A471" t="s">
        <v>619</v>
      </c>
      <c r="B471" s="2">
        <v>46249</v>
      </c>
      <c r="C471" s="2" t="str">
        <f t="shared" si="28"/>
        <v>August</v>
      </c>
      <c r="D471" t="s">
        <v>195</v>
      </c>
      <c r="E471" t="s">
        <v>41</v>
      </c>
      <c r="F471" t="s">
        <v>114</v>
      </c>
      <c r="G471" t="s">
        <v>43</v>
      </c>
      <c r="H471">
        <v>4</v>
      </c>
      <c r="I471" s="3">
        <v>173.6</v>
      </c>
      <c r="J471" s="4">
        <v>0.15</v>
      </c>
      <c r="K471" t="s">
        <v>23</v>
      </c>
      <c r="L471" t="s">
        <v>32</v>
      </c>
      <c r="M471">
        <f t="shared" si="29"/>
        <v>590.24</v>
      </c>
    </row>
    <row r="472" spans="1:13" x14ac:dyDescent="0.2">
      <c r="A472" t="s">
        <v>620</v>
      </c>
      <c r="B472" s="2">
        <v>46250</v>
      </c>
      <c r="C472" s="2" t="str">
        <f t="shared" si="28"/>
        <v>August</v>
      </c>
      <c r="D472" t="s">
        <v>171</v>
      </c>
      <c r="E472" t="s">
        <v>51</v>
      </c>
      <c r="F472" t="s">
        <v>38</v>
      </c>
      <c r="G472" t="s">
        <v>15</v>
      </c>
      <c r="H472">
        <v>2</v>
      </c>
      <c r="I472" s="3">
        <v>29.9</v>
      </c>
      <c r="J472" s="4">
        <v>0.05</v>
      </c>
      <c r="K472" t="s">
        <v>27</v>
      </c>
      <c r="L472" t="s">
        <v>52</v>
      </c>
      <c r="M472">
        <f t="shared" si="29"/>
        <v>56.809999999999995</v>
      </c>
    </row>
    <row r="473" spans="1:13" x14ac:dyDescent="0.2">
      <c r="A473" t="s">
        <v>621</v>
      </c>
      <c r="B473" s="2">
        <v>46250</v>
      </c>
      <c r="C473" s="2" t="str">
        <f t="shared" si="28"/>
        <v>August</v>
      </c>
      <c r="D473" t="s">
        <v>346</v>
      </c>
      <c r="E473" t="s">
        <v>67</v>
      </c>
      <c r="F473" t="s">
        <v>77</v>
      </c>
      <c r="G473" t="s">
        <v>22</v>
      </c>
      <c r="H473">
        <v>4</v>
      </c>
      <c r="I473" s="3">
        <v>347.42</v>
      </c>
      <c r="J473" s="4">
        <v>0.1</v>
      </c>
      <c r="K473" t="s">
        <v>55</v>
      </c>
      <c r="L473" t="s">
        <v>52</v>
      </c>
      <c r="M473">
        <f t="shared" si="29"/>
        <v>1250.712</v>
      </c>
    </row>
    <row r="474" spans="1:13" x14ac:dyDescent="0.2">
      <c r="A474" t="s">
        <v>622</v>
      </c>
      <c r="B474" s="2">
        <v>46251</v>
      </c>
      <c r="C474" s="2" t="str">
        <f t="shared" si="28"/>
        <v>August</v>
      </c>
      <c r="D474" t="s">
        <v>137</v>
      </c>
      <c r="E474" t="s">
        <v>59</v>
      </c>
      <c r="F474" t="s">
        <v>21</v>
      </c>
      <c r="G474" t="s">
        <v>22</v>
      </c>
      <c r="H474">
        <v>4</v>
      </c>
      <c r="I474" s="3">
        <v>72.739999999999995</v>
      </c>
      <c r="J474" s="4">
        <v>0</v>
      </c>
      <c r="K474" t="s">
        <v>27</v>
      </c>
      <c r="L474" t="s">
        <v>28</v>
      </c>
      <c r="M474">
        <f t="shared" si="29"/>
        <v>290.95999999999998</v>
      </c>
    </row>
    <row r="475" spans="1:13" x14ac:dyDescent="0.2">
      <c r="A475" t="s">
        <v>623</v>
      </c>
      <c r="B475" s="2">
        <v>46251</v>
      </c>
      <c r="C475" s="2" t="str">
        <f t="shared" si="28"/>
        <v>August</v>
      </c>
      <c r="D475" t="s">
        <v>238</v>
      </c>
      <c r="E475" t="s">
        <v>119</v>
      </c>
      <c r="F475" t="s">
        <v>77</v>
      </c>
      <c r="G475" t="s">
        <v>22</v>
      </c>
      <c r="H475">
        <v>2</v>
      </c>
      <c r="I475" s="3">
        <v>336.46</v>
      </c>
      <c r="J475" s="4">
        <v>0.15</v>
      </c>
      <c r="K475" t="s">
        <v>27</v>
      </c>
      <c r="L475" t="s">
        <v>17</v>
      </c>
      <c r="M475">
        <f t="shared" si="29"/>
        <v>571.98199999999997</v>
      </c>
    </row>
    <row r="476" spans="1:13" x14ac:dyDescent="0.2">
      <c r="A476" t="s">
        <v>624</v>
      </c>
      <c r="B476" s="2">
        <v>46251</v>
      </c>
      <c r="C476" s="2" t="str">
        <f t="shared" si="28"/>
        <v>August</v>
      </c>
      <c r="D476" t="s">
        <v>198</v>
      </c>
      <c r="E476" t="s">
        <v>20</v>
      </c>
      <c r="F476" t="s">
        <v>48</v>
      </c>
      <c r="G476" t="s">
        <v>15</v>
      </c>
      <c r="H476">
        <v>2</v>
      </c>
      <c r="I476" s="3">
        <v>95.23</v>
      </c>
      <c r="J476" s="4">
        <v>0.1</v>
      </c>
      <c r="K476" t="s">
        <v>23</v>
      </c>
      <c r="L476" t="s">
        <v>28</v>
      </c>
      <c r="M476">
        <f t="shared" si="29"/>
        <v>171.41400000000002</v>
      </c>
    </row>
    <row r="477" spans="1:13" x14ac:dyDescent="0.2">
      <c r="A477" t="s">
        <v>625</v>
      </c>
      <c r="B477" s="2">
        <v>46252</v>
      </c>
      <c r="C477" s="2" t="str">
        <f t="shared" si="28"/>
        <v>August</v>
      </c>
      <c r="D477" t="s">
        <v>227</v>
      </c>
      <c r="E477" t="s">
        <v>62</v>
      </c>
      <c r="F477" t="s">
        <v>114</v>
      </c>
      <c r="G477" t="s">
        <v>43</v>
      </c>
      <c r="H477">
        <v>4</v>
      </c>
      <c r="I477" s="3">
        <v>189.1</v>
      </c>
      <c r="J477" s="4">
        <v>0</v>
      </c>
      <c r="K477" t="s">
        <v>16</v>
      </c>
      <c r="L477" t="s">
        <v>70</v>
      </c>
      <c r="M477">
        <f t="shared" si="29"/>
        <v>756.4</v>
      </c>
    </row>
    <row r="478" spans="1:13" x14ac:dyDescent="0.2">
      <c r="A478" t="s">
        <v>626</v>
      </c>
      <c r="B478" s="2">
        <v>46254</v>
      </c>
      <c r="C478" s="2" t="str">
        <f t="shared" si="28"/>
        <v>August</v>
      </c>
      <c r="D478" t="s">
        <v>456</v>
      </c>
      <c r="E478" t="s">
        <v>90</v>
      </c>
      <c r="F478" t="s">
        <v>63</v>
      </c>
      <c r="G478" t="s">
        <v>22</v>
      </c>
      <c r="H478">
        <v>1</v>
      </c>
      <c r="I478" s="3">
        <v>1122.24</v>
      </c>
      <c r="J478" s="4">
        <v>0.05</v>
      </c>
      <c r="K478" t="s">
        <v>55</v>
      </c>
      <c r="L478" t="s">
        <v>64</v>
      </c>
      <c r="M478">
        <f t="shared" si="29"/>
        <v>1066.1279999999999</v>
      </c>
    </row>
    <row r="479" spans="1:13" x14ac:dyDescent="0.2">
      <c r="A479" t="s">
        <v>627</v>
      </c>
      <c r="B479" s="2">
        <v>46255</v>
      </c>
      <c r="C479" s="2" t="str">
        <f t="shared" si="28"/>
        <v>August</v>
      </c>
      <c r="D479" t="s">
        <v>225</v>
      </c>
      <c r="E479" t="s">
        <v>93</v>
      </c>
      <c r="F479" t="s">
        <v>38</v>
      </c>
      <c r="G479" t="s">
        <v>15</v>
      </c>
      <c r="H479">
        <v>8</v>
      </c>
      <c r="I479" s="3">
        <v>30.09</v>
      </c>
      <c r="J479" s="4">
        <v>0</v>
      </c>
      <c r="K479" t="s">
        <v>27</v>
      </c>
      <c r="L479" t="s">
        <v>64</v>
      </c>
      <c r="M479">
        <f t="shared" si="29"/>
        <v>240.72</v>
      </c>
    </row>
    <row r="480" spans="1:13" x14ac:dyDescent="0.2">
      <c r="A480" t="s">
        <v>628</v>
      </c>
      <c r="B480" s="2">
        <v>46255</v>
      </c>
      <c r="C480" s="2" t="str">
        <f t="shared" si="28"/>
        <v>August</v>
      </c>
      <c r="D480" t="s">
        <v>107</v>
      </c>
      <c r="E480" t="s">
        <v>51</v>
      </c>
      <c r="F480" t="s">
        <v>38</v>
      </c>
      <c r="G480" t="s">
        <v>15</v>
      </c>
      <c r="H480">
        <v>2</v>
      </c>
      <c r="I480" s="3">
        <v>27.92</v>
      </c>
      <c r="J480" s="4">
        <v>0</v>
      </c>
      <c r="K480" t="s">
        <v>23</v>
      </c>
      <c r="L480" t="s">
        <v>52</v>
      </c>
      <c r="M480">
        <f t="shared" si="29"/>
        <v>55.84</v>
      </c>
    </row>
    <row r="481" spans="1:13" x14ac:dyDescent="0.2">
      <c r="A481" t="s">
        <v>629</v>
      </c>
      <c r="B481" s="2">
        <v>46255</v>
      </c>
      <c r="C481" s="2" t="str">
        <f t="shared" si="28"/>
        <v>August</v>
      </c>
      <c r="D481" t="s">
        <v>478</v>
      </c>
      <c r="E481" t="s">
        <v>26</v>
      </c>
      <c r="F481" t="s">
        <v>85</v>
      </c>
      <c r="G481" t="s">
        <v>22</v>
      </c>
      <c r="H481">
        <v>3</v>
      </c>
      <c r="I481" s="3">
        <v>466.05</v>
      </c>
      <c r="J481" s="4">
        <v>0.15</v>
      </c>
      <c r="K481" t="s">
        <v>23</v>
      </c>
      <c r="L481" t="s">
        <v>52</v>
      </c>
      <c r="M481">
        <f t="shared" si="29"/>
        <v>1188.4275</v>
      </c>
    </row>
    <row r="482" spans="1:13" x14ac:dyDescent="0.2">
      <c r="A482" t="s">
        <v>630</v>
      </c>
      <c r="B482" s="2">
        <v>46255</v>
      </c>
      <c r="C482" s="2" t="str">
        <f t="shared" si="28"/>
        <v>August</v>
      </c>
      <c r="D482" t="s">
        <v>19</v>
      </c>
      <c r="E482" t="s">
        <v>51</v>
      </c>
      <c r="F482" t="s">
        <v>77</v>
      </c>
      <c r="G482" t="s">
        <v>22</v>
      </c>
      <c r="H482">
        <v>2</v>
      </c>
      <c r="I482" s="3">
        <v>342.68</v>
      </c>
      <c r="J482" s="4">
        <v>0.05</v>
      </c>
      <c r="K482" t="s">
        <v>44</v>
      </c>
      <c r="L482" t="s">
        <v>28</v>
      </c>
      <c r="M482">
        <f t="shared" si="29"/>
        <v>651.09199999999998</v>
      </c>
    </row>
    <row r="483" spans="1:13" x14ac:dyDescent="0.2">
      <c r="A483" t="s">
        <v>631</v>
      </c>
      <c r="B483" s="2">
        <v>46256</v>
      </c>
      <c r="C483" s="2" t="str">
        <f t="shared" si="28"/>
        <v>August</v>
      </c>
      <c r="D483" t="s">
        <v>336</v>
      </c>
      <c r="E483" t="s">
        <v>67</v>
      </c>
      <c r="F483" t="s">
        <v>77</v>
      </c>
      <c r="G483" t="s">
        <v>22</v>
      </c>
      <c r="H483">
        <v>1</v>
      </c>
      <c r="I483" s="3">
        <v>342.87</v>
      </c>
      <c r="J483" s="4">
        <v>0.05</v>
      </c>
      <c r="K483" t="s">
        <v>23</v>
      </c>
      <c r="L483" t="s">
        <v>32</v>
      </c>
      <c r="M483">
        <f t="shared" si="29"/>
        <v>325.72649999999999</v>
      </c>
    </row>
    <row r="484" spans="1:13" x14ac:dyDescent="0.2">
      <c r="A484" t="s">
        <v>632</v>
      </c>
      <c r="B484" s="2">
        <v>46257</v>
      </c>
      <c r="C484" s="2" t="str">
        <f t="shared" si="28"/>
        <v>August</v>
      </c>
      <c r="D484" t="s">
        <v>268</v>
      </c>
      <c r="E484" t="s">
        <v>41</v>
      </c>
      <c r="F484" t="s">
        <v>77</v>
      </c>
      <c r="G484" t="s">
        <v>22</v>
      </c>
      <c r="H484">
        <v>1</v>
      </c>
      <c r="I484" s="3">
        <v>365.71</v>
      </c>
      <c r="J484" s="4">
        <v>0</v>
      </c>
      <c r="K484" t="s">
        <v>55</v>
      </c>
      <c r="L484" t="s">
        <v>64</v>
      </c>
      <c r="M484">
        <f t="shared" si="29"/>
        <v>365.71</v>
      </c>
    </row>
    <row r="485" spans="1:13" x14ac:dyDescent="0.2">
      <c r="A485" t="s">
        <v>633</v>
      </c>
      <c r="B485" s="2">
        <v>46259</v>
      </c>
      <c r="C485" s="2" t="str">
        <f t="shared" si="28"/>
        <v>August</v>
      </c>
      <c r="D485" t="s">
        <v>315</v>
      </c>
      <c r="E485" t="s">
        <v>67</v>
      </c>
      <c r="F485" t="s">
        <v>21</v>
      </c>
      <c r="G485" t="s">
        <v>22</v>
      </c>
      <c r="H485">
        <v>2</v>
      </c>
      <c r="I485" s="3">
        <v>75.790000000000006</v>
      </c>
      <c r="J485" s="4">
        <v>0.05</v>
      </c>
      <c r="K485" t="s">
        <v>44</v>
      </c>
      <c r="L485" t="s">
        <v>17</v>
      </c>
      <c r="M485">
        <f t="shared" si="29"/>
        <v>144.001</v>
      </c>
    </row>
    <row r="486" spans="1:13" x14ac:dyDescent="0.2">
      <c r="A486" t="s">
        <v>634</v>
      </c>
      <c r="B486" s="2">
        <v>46259</v>
      </c>
      <c r="C486" s="2" t="str">
        <f t="shared" si="28"/>
        <v>August</v>
      </c>
      <c r="D486" t="s">
        <v>266</v>
      </c>
      <c r="E486" t="s">
        <v>80</v>
      </c>
      <c r="F486" t="s">
        <v>114</v>
      </c>
      <c r="G486" t="s">
        <v>43</v>
      </c>
      <c r="H486">
        <v>1</v>
      </c>
      <c r="I486" s="3">
        <v>169.87</v>
      </c>
      <c r="J486" s="4">
        <v>0.15</v>
      </c>
      <c r="K486" t="s">
        <v>55</v>
      </c>
      <c r="L486" t="s">
        <v>74</v>
      </c>
      <c r="M486">
        <f t="shared" si="29"/>
        <v>144.3895</v>
      </c>
    </row>
    <row r="487" spans="1:13" x14ac:dyDescent="0.2">
      <c r="A487" t="s">
        <v>635</v>
      </c>
      <c r="B487" s="2">
        <v>46260</v>
      </c>
      <c r="C487" s="2" t="str">
        <f t="shared" si="28"/>
        <v>August</v>
      </c>
      <c r="D487" t="s">
        <v>232</v>
      </c>
      <c r="E487" t="s">
        <v>41</v>
      </c>
      <c r="F487" t="s">
        <v>42</v>
      </c>
      <c r="G487" t="s">
        <v>43</v>
      </c>
      <c r="H487">
        <v>2</v>
      </c>
      <c r="I487" s="3">
        <v>286.5</v>
      </c>
      <c r="J487" s="4">
        <v>0</v>
      </c>
      <c r="K487" t="s">
        <v>23</v>
      </c>
      <c r="L487" t="s">
        <v>74</v>
      </c>
      <c r="M487">
        <f t="shared" si="29"/>
        <v>573</v>
      </c>
    </row>
    <row r="488" spans="1:13" x14ac:dyDescent="0.2">
      <c r="A488" t="s">
        <v>636</v>
      </c>
      <c r="B488" s="2">
        <v>46261</v>
      </c>
      <c r="C488" s="2" t="str">
        <f t="shared" si="28"/>
        <v>August</v>
      </c>
      <c r="D488" t="s">
        <v>209</v>
      </c>
      <c r="E488" t="s">
        <v>41</v>
      </c>
      <c r="F488" t="s">
        <v>48</v>
      </c>
      <c r="G488" t="s">
        <v>15</v>
      </c>
      <c r="H488">
        <v>10</v>
      </c>
      <c r="I488" s="3">
        <v>85.8</v>
      </c>
      <c r="J488" s="4">
        <v>0.1</v>
      </c>
      <c r="K488" t="s">
        <v>23</v>
      </c>
      <c r="L488" t="s">
        <v>74</v>
      </c>
      <c r="M488">
        <f t="shared" si="29"/>
        <v>772.2</v>
      </c>
    </row>
    <row r="489" spans="1:13" x14ac:dyDescent="0.2">
      <c r="A489" t="s">
        <v>637</v>
      </c>
      <c r="B489" s="2">
        <v>46262</v>
      </c>
      <c r="C489" s="2" t="str">
        <f t="shared" si="28"/>
        <v>August</v>
      </c>
      <c r="D489" t="s">
        <v>69</v>
      </c>
      <c r="E489" t="s">
        <v>93</v>
      </c>
      <c r="F489" t="s">
        <v>114</v>
      </c>
      <c r="G489" t="s">
        <v>43</v>
      </c>
      <c r="H489">
        <v>2</v>
      </c>
      <c r="I489" s="3">
        <v>177.09</v>
      </c>
      <c r="J489" s="4">
        <v>0.2</v>
      </c>
      <c r="K489" t="s">
        <v>27</v>
      </c>
      <c r="L489" t="s">
        <v>52</v>
      </c>
      <c r="M489">
        <f t="shared" si="29"/>
        <v>283.34399999999999</v>
      </c>
    </row>
    <row r="490" spans="1:13" x14ac:dyDescent="0.2">
      <c r="A490" t="s">
        <v>638</v>
      </c>
      <c r="B490" s="2">
        <v>46262</v>
      </c>
      <c r="C490" s="2" t="str">
        <f t="shared" si="28"/>
        <v>August</v>
      </c>
      <c r="D490" t="s">
        <v>84</v>
      </c>
      <c r="E490" t="s">
        <v>26</v>
      </c>
      <c r="F490" t="s">
        <v>85</v>
      </c>
      <c r="G490" t="s">
        <v>22</v>
      </c>
      <c r="H490">
        <v>3</v>
      </c>
      <c r="I490" s="3">
        <v>510.89</v>
      </c>
      <c r="J490" s="4">
        <v>0</v>
      </c>
      <c r="K490" t="s">
        <v>55</v>
      </c>
      <c r="L490" t="s">
        <v>32</v>
      </c>
      <c r="M490">
        <f t="shared" si="29"/>
        <v>1532.67</v>
      </c>
    </row>
    <row r="491" spans="1:13" x14ac:dyDescent="0.2">
      <c r="A491" t="s">
        <v>639</v>
      </c>
      <c r="B491" s="2">
        <v>46262</v>
      </c>
      <c r="C491" s="2" t="str">
        <f t="shared" si="28"/>
        <v>August</v>
      </c>
      <c r="D491" t="s">
        <v>315</v>
      </c>
      <c r="E491" t="s">
        <v>80</v>
      </c>
      <c r="F491" t="s">
        <v>38</v>
      </c>
      <c r="G491" t="s">
        <v>15</v>
      </c>
      <c r="H491">
        <v>6</v>
      </c>
      <c r="I491" s="3">
        <v>30.52</v>
      </c>
      <c r="J491" s="4">
        <v>0.1</v>
      </c>
      <c r="K491" t="s">
        <v>23</v>
      </c>
      <c r="L491" t="s">
        <v>70</v>
      </c>
      <c r="M491">
        <f t="shared" si="29"/>
        <v>164.80800000000002</v>
      </c>
    </row>
    <row r="492" spans="1:13" x14ac:dyDescent="0.2">
      <c r="A492" t="s">
        <v>640</v>
      </c>
      <c r="B492" s="2">
        <v>46263</v>
      </c>
      <c r="C492" s="2" t="str">
        <f t="shared" si="28"/>
        <v>August</v>
      </c>
      <c r="D492" t="s">
        <v>286</v>
      </c>
      <c r="E492" t="s">
        <v>62</v>
      </c>
      <c r="F492" t="s">
        <v>48</v>
      </c>
      <c r="G492" t="s">
        <v>15</v>
      </c>
      <c r="H492">
        <v>1</v>
      </c>
      <c r="I492" s="3">
        <v>85.98</v>
      </c>
      <c r="J492" s="4">
        <v>0</v>
      </c>
      <c r="K492" t="s">
        <v>16</v>
      </c>
      <c r="L492" t="s">
        <v>74</v>
      </c>
      <c r="M492">
        <f t="shared" si="29"/>
        <v>85.98</v>
      </c>
    </row>
    <row r="493" spans="1:13" x14ac:dyDescent="0.2">
      <c r="A493" t="s">
        <v>641</v>
      </c>
      <c r="B493" s="2">
        <v>46263</v>
      </c>
      <c r="C493" s="2" t="str">
        <f t="shared" si="28"/>
        <v>August</v>
      </c>
      <c r="D493" t="s">
        <v>493</v>
      </c>
      <c r="E493" t="s">
        <v>26</v>
      </c>
      <c r="F493" t="s">
        <v>73</v>
      </c>
      <c r="G493" t="s">
        <v>43</v>
      </c>
      <c r="H493">
        <v>1</v>
      </c>
      <c r="I493" s="3">
        <v>223.42</v>
      </c>
      <c r="J493" s="4">
        <v>0.05</v>
      </c>
      <c r="K493" t="s">
        <v>23</v>
      </c>
      <c r="L493" t="s">
        <v>32</v>
      </c>
      <c r="M493">
        <f t="shared" si="29"/>
        <v>212.24899999999997</v>
      </c>
    </row>
    <row r="494" spans="1:13" x14ac:dyDescent="0.2">
      <c r="A494" t="s">
        <v>642</v>
      </c>
      <c r="B494" s="2">
        <v>46263</v>
      </c>
      <c r="C494" s="2" t="str">
        <f t="shared" si="28"/>
        <v>August</v>
      </c>
      <c r="D494" t="s">
        <v>187</v>
      </c>
      <c r="E494" t="s">
        <v>62</v>
      </c>
      <c r="F494" t="s">
        <v>77</v>
      </c>
      <c r="G494" t="s">
        <v>22</v>
      </c>
      <c r="H494">
        <v>1</v>
      </c>
      <c r="I494" s="3">
        <v>340.56</v>
      </c>
      <c r="J494" s="4">
        <v>0.2</v>
      </c>
      <c r="K494" t="s">
        <v>44</v>
      </c>
      <c r="L494" t="s">
        <v>17</v>
      </c>
      <c r="M494">
        <f t="shared" si="29"/>
        <v>272.44800000000004</v>
      </c>
    </row>
    <row r="495" spans="1:13" x14ac:dyDescent="0.2">
      <c r="A495" t="s">
        <v>643</v>
      </c>
      <c r="B495" s="2">
        <v>46264</v>
      </c>
      <c r="C495" s="2" t="str">
        <f t="shared" si="28"/>
        <v>August</v>
      </c>
      <c r="D495" t="s">
        <v>99</v>
      </c>
      <c r="E495" t="s">
        <v>93</v>
      </c>
      <c r="F495" t="s">
        <v>48</v>
      </c>
      <c r="G495" t="s">
        <v>15</v>
      </c>
      <c r="H495">
        <v>1</v>
      </c>
      <c r="I495" s="3">
        <v>93.28</v>
      </c>
      <c r="J495" s="4">
        <v>0</v>
      </c>
      <c r="K495" t="s">
        <v>27</v>
      </c>
      <c r="L495" t="s">
        <v>52</v>
      </c>
      <c r="M495">
        <f t="shared" si="29"/>
        <v>93.28</v>
      </c>
    </row>
    <row r="496" spans="1:13" x14ac:dyDescent="0.2">
      <c r="A496" t="s">
        <v>644</v>
      </c>
      <c r="B496" s="2">
        <v>46264</v>
      </c>
      <c r="C496" s="2" t="str">
        <f t="shared" si="28"/>
        <v>August</v>
      </c>
      <c r="D496" t="s">
        <v>84</v>
      </c>
      <c r="E496" t="s">
        <v>93</v>
      </c>
      <c r="F496" t="s">
        <v>114</v>
      </c>
      <c r="G496" t="s">
        <v>43</v>
      </c>
      <c r="H496">
        <v>2</v>
      </c>
      <c r="I496" s="3">
        <v>166.82</v>
      </c>
      <c r="J496" s="4">
        <v>0</v>
      </c>
      <c r="K496" t="s">
        <v>16</v>
      </c>
      <c r="L496" t="s">
        <v>28</v>
      </c>
      <c r="M496">
        <f t="shared" si="29"/>
        <v>333.64</v>
      </c>
    </row>
    <row r="497" spans="1:13" x14ac:dyDescent="0.2">
      <c r="A497" t="s">
        <v>645</v>
      </c>
      <c r="B497" s="2">
        <v>46265</v>
      </c>
      <c r="C497" s="2" t="str">
        <f t="shared" si="28"/>
        <v>August</v>
      </c>
      <c r="D497" t="s">
        <v>551</v>
      </c>
      <c r="E497" t="s">
        <v>62</v>
      </c>
      <c r="F497" t="s">
        <v>14</v>
      </c>
      <c r="G497" t="s">
        <v>15</v>
      </c>
      <c r="H497">
        <v>1</v>
      </c>
      <c r="I497" s="3">
        <v>55.97</v>
      </c>
      <c r="J497" s="4">
        <v>0.15</v>
      </c>
      <c r="K497" t="s">
        <v>16</v>
      </c>
      <c r="L497" t="s">
        <v>52</v>
      </c>
      <c r="M497">
        <f t="shared" si="29"/>
        <v>47.5745</v>
      </c>
    </row>
    <row r="498" spans="1:13" x14ac:dyDescent="0.2">
      <c r="A498" t="s">
        <v>646</v>
      </c>
      <c r="B498" s="2">
        <v>46265</v>
      </c>
      <c r="C498" s="2" t="str">
        <f t="shared" si="28"/>
        <v>August</v>
      </c>
      <c r="D498" t="s">
        <v>99</v>
      </c>
      <c r="E498" t="s">
        <v>80</v>
      </c>
      <c r="F498" t="s">
        <v>38</v>
      </c>
      <c r="G498" t="s">
        <v>15</v>
      </c>
      <c r="H498">
        <v>3</v>
      </c>
      <c r="I498" s="3">
        <v>27.99</v>
      </c>
      <c r="J498" s="4">
        <v>0.05</v>
      </c>
      <c r="K498" t="s">
        <v>16</v>
      </c>
      <c r="L498" t="s">
        <v>28</v>
      </c>
      <c r="M498">
        <f t="shared" si="29"/>
        <v>79.771499999999989</v>
      </c>
    </row>
    <row r="499" spans="1:13" x14ac:dyDescent="0.2">
      <c r="A499" t="s">
        <v>647</v>
      </c>
      <c r="B499" s="2">
        <v>46265</v>
      </c>
      <c r="C499" s="2" t="str">
        <f t="shared" si="28"/>
        <v>August</v>
      </c>
      <c r="D499" t="s">
        <v>648</v>
      </c>
      <c r="E499" t="s">
        <v>20</v>
      </c>
      <c r="F499" t="s">
        <v>38</v>
      </c>
      <c r="G499" t="s">
        <v>15</v>
      </c>
      <c r="H499">
        <v>1</v>
      </c>
      <c r="I499" s="3">
        <v>30.28</v>
      </c>
      <c r="J499" s="4">
        <v>0.15</v>
      </c>
      <c r="K499" t="s">
        <v>16</v>
      </c>
      <c r="L499" t="s">
        <v>32</v>
      </c>
      <c r="M499">
        <f t="shared" si="29"/>
        <v>25.738</v>
      </c>
    </row>
    <row r="500" spans="1:13" x14ac:dyDescent="0.2">
      <c r="A500" t="s">
        <v>649</v>
      </c>
      <c r="B500" s="2">
        <v>46265</v>
      </c>
      <c r="C500" s="2" t="str">
        <f t="shared" si="28"/>
        <v>August</v>
      </c>
      <c r="D500" t="s">
        <v>183</v>
      </c>
      <c r="E500" t="s">
        <v>47</v>
      </c>
      <c r="F500" t="s">
        <v>48</v>
      </c>
      <c r="G500" t="s">
        <v>15</v>
      </c>
      <c r="H500">
        <v>2</v>
      </c>
      <c r="I500" s="3">
        <v>96.03</v>
      </c>
      <c r="J500" s="4">
        <v>0.05</v>
      </c>
      <c r="K500" t="s">
        <v>16</v>
      </c>
      <c r="L500" t="s">
        <v>28</v>
      </c>
      <c r="M500">
        <f t="shared" si="29"/>
        <v>182.45699999999999</v>
      </c>
    </row>
    <row r="501" spans="1:13" x14ac:dyDescent="0.2">
      <c r="A501" t="s">
        <v>650</v>
      </c>
      <c r="B501" s="2">
        <v>46265</v>
      </c>
      <c r="C501" s="2" t="str">
        <f t="shared" si="28"/>
        <v>August</v>
      </c>
      <c r="D501" t="s">
        <v>50</v>
      </c>
      <c r="E501" t="s">
        <v>119</v>
      </c>
      <c r="F501" t="s">
        <v>21</v>
      </c>
      <c r="G501" t="s">
        <v>22</v>
      </c>
      <c r="H501">
        <v>1</v>
      </c>
      <c r="I501" s="3">
        <v>72.72</v>
      </c>
      <c r="J501" s="4">
        <v>0</v>
      </c>
      <c r="K501" t="s">
        <v>27</v>
      </c>
      <c r="L501" t="s">
        <v>74</v>
      </c>
      <c r="M501">
        <f t="shared" si="29"/>
        <v>72.72</v>
      </c>
    </row>
  </sheetData>
  <autoFilter ref="S6:V16" xr:uid="{00000000-0001-0000-0000-000000000000}"/>
  <pageMargins left="0.75" right="0.75" top="1" bottom="1" header="0.5" footer="0.5"/>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06DC-4660-E14F-B85C-FF3CC9D4FB13}">
  <sheetPr>
    <pageSetUpPr fitToPage="1"/>
  </sheetPr>
  <dimension ref="B1:N50"/>
  <sheetViews>
    <sheetView zoomScale="75" workbookViewId="0">
      <selection activeCell="T36" sqref="T36"/>
    </sheetView>
  </sheetViews>
  <sheetFormatPr baseColWidth="10" defaultRowHeight="15" x14ac:dyDescent="0.2"/>
  <sheetData>
    <row r="1" spans="2:14" ht="24" x14ac:dyDescent="0.3">
      <c r="B1" s="28" t="s">
        <v>697</v>
      </c>
      <c r="C1" s="29"/>
      <c r="D1" s="29"/>
      <c r="E1" s="29"/>
      <c r="F1" s="29"/>
      <c r="G1" s="29"/>
      <c r="H1" s="29"/>
      <c r="I1" s="29"/>
      <c r="J1" s="29"/>
      <c r="K1" s="29"/>
      <c r="L1" s="29"/>
      <c r="M1" s="29"/>
      <c r="N1" s="30"/>
    </row>
    <row r="2" spans="2:14" ht="15" customHeight="1" x14ac:dyDescent="0.2">
      <c r="B2" s="31" t="s">
        <v>698</v>
      </c>
      <c r="C2" s="32"/>
      <c r="D2" s="32"/>
      <c r="E2" s="32"/>
      <c r="F2" s="32"/>
      <c r="G2" s="32"/>
      <c r="H2" s="32"/>
      <c r="I2" s="32"/>
      <c r="J2" s="32"/>
      <c r="K2" s="32"/>
      <c r="L2" s="32"/>
      <c r="M2" s="32"/>
      <c r="N2" s="33"/>
    </row>
    <row r="4" spans="2:14" x14ac:dyDescent="0.2">
      <c r="B4" s="34" t="s">
        <v>696</v>
      </c>
      <c r="C4" s="34"/>
      <c r="D4" s="22"/>
      <c r="E4" s="34" t="s">
        <v>694</v>
      </c>
      <c r="F4" s="34"/>
      <c r="G4" s="22"/>
      <c r="H4" s="34" t="s">
        <v>695</v>
      </c>
      <c r="I4" s="34"/>
      <c r="J4" s="22"/>
      <c r="K4" s="34" t="s">
        <v>655</v>
      </c>
      <c r="L4" s="34"/>
    </row>
    <row r="5" spans="2:14" x14ac:dyDescent="0.2">
      <c r="B5" s="34"/>
      <c r="C5" s="34"/>
      <c r="D5" s="22"/>
      <c r="E5" s="34"/>
      <c r="F5" s="34"/>
      <c r="G5" s="22"/>
      <c r="H5" s="34"/>
      <c r="I5" s="34"/>
      <c r="J5" s="22"/>
      <c r="K5" s="34"/>
      <c r="L5" s="34"/>
    </row>
    <row r="6" spans="2:14" x14ac:dyDescent="0.2">
      <c r="B6" s="34"/>
      <c r="C6" s="34"/>
      <c r="D6" s="22"/>
      <c r="E6" s="34"/>
      <c r="F6" s="34"/>
      <c r="G6" s="22"/>
      <c r="H6" s="34"/>
      <c r="I6" s="34"/>
      <c r="J6" s="22"/>
      <c r="K6" s="34"/>
      <c r="L6" s="34"/>
    </row>
    <row r="7" spans="2:14" ht="21" x14ac:dyDescent="0.2">
      <c r="B7" s="23">
        <f>Sales_Data!P4</f>
        <v>390216.99049999949</v>
      </c>
      <c r="C7" s="24"/>
      <c r="D7" s="22"/>
      <c r="E7" s="18">
        <f>Sales_Data!P6</f>
        <v>500</v>
      </c>
      <c r="F7" s="19"/>
      <c r="G7" s="22"/>
      <c r="H7" s="18">
        <f>Sales_Data!P5</f>
        <v>1527</v>
      </c>
      <c r="I7" s="19"/>
      <c r="J7" s="22"/>
      <c r="K7" s="21">
        <f>Sales_Data!P7</f>
        <v>780.43398099999899</v>
      </c>
      <c r="L7" s="21"/>
    </row>
    <row r="45" spans="5:5" x14ac:dyDescent="0.2">
      <c r="E45" s="9" t="s">
        <v>699</v>
      </c>
    </row>
    <row r="46" spans="5:5" x14ac:dyDescent="0.2">
      <c r="E46" s="9" t="s">
        <v>700</v>
      </c>
    </row>
    <row r="47" spans="5:5" x14ac:dyDescent="0.2">
      <c r="E47" s="9" t="s">
        <v>701</v>
      </c>
    </row>
    <row r="49" spans="4:4" x14ac:dyDescent="0.2">
      <c r="D49" t="s">
        <v>702</v>
      </c>
    </row>
    <row r="50" spans="4:4" x14ac:dyDescent="0.2">
      <c r="D50" s="9" t="s">
        <v>703</v>
      </c>
    </row>
  </sheetData>
  <mergeCells count="10">
    <mergeCell ref="B1:N1"/>
    <mergeCell ref="B2:N2"/>
    <mergeCell ref="B4:C6"/>
    <mergeCell ref="E4:F6"/>
    <mergeCell ref="H4:I6"/>
    <mergeCell ref="K4:L6"/>
    <mergeCell ref="B7:C7"/>
    <mergeCell ref="E7:F7"/>
    <mergeCell ref="H7:I7"/>
    <mergeCell ref="K7:L7"/>
  </mergeCells>
  <pageMargins left="0.7" right="0.7" top="0.75" bottom="0.75" header="0.3" footer="0.3"/>
  <pageSetup paperSize="9" scale="38"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Trang Lương</cp:lastModifiedBy>
  <dcterms:created xsi:type="dcterms:W3CDTF">2026-09-01T06:04:42Z</dcterms:created>
  <dcterms:modified xsi:type="dcterms:W3CDTF">2026-09-01T11:27:48Z</dcterms:modified>
</cp:coreProperties>
</file>